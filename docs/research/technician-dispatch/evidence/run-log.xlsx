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zafirhasan/Downloads/"/>
    </mc:Choice>
  </mc:AlternateContent>
  <xr:revisionPtr revIDLastSave="0" documentId="13_ncr:1_{3762AA7A-099B-CC4E-A623-78F3FDFAED57}" xr6:coauthVersionLast="47" xr6:coauthVersionMax="47" xr10:uidLastSave="{00000000-0000-0000-0000-000000000000}"/>
  <bookViews>
    <workbookView xWindow="0" yWindow="780" windowWidth="36000" windowHeight="22600" tabRatio="500" activeTab="5" xr2:uid="{00000000-000D-0000-FFFF-FFFF00000000}"/>
  </bookViews>
  <sheets>
    <sheet name="How to use" sheetId="1" r:id="rId1"/>
    <sheet name="Steps" sheetId="2" r:id="rId2"/>
    <sheet name="Prompts" sheetId="3" r:id="rId3"/>
    <sheet name="Log" sheetId="4" r:id="rId4"/>
    <sheet name="Prompts sent" sheetId="5" r:id="rId5"/>
    <sheet name="Event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1" i="4" l="1"/>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J7" i="4" s="1"/>
  <c r="G28" i="4"/>
  <c r="J8" i="4" s="1"/>
  <c r="G27" i="4"/>
  <c r="G26" i="4"/>
  <c r="G25" i="4"/>
  <c r="G24" i="4"/>
  <c r="G23" i="4"/>
  <c r="G22" i="4"/>
  <c r="L19" i="4"/>
  <c r="K19" i="4"/>
  <c r="J19" i="4"/>
  <c r="J9" i="4"/>
  <c r="J5" i="4"/>
  <c r="B3" i="2"/>
  <c r="J6" i="4" l="1"/>
  <c r="J10" i="4" s="1"/>
  <c r="J12" i="4" s="1"/>
  <c r="J11" i="4" l="1"/>
</calcChain>
</file>

<file path=xl/sharedStrings.xml><?xml version="1.0" encoding="utf-8"?>
<sst xmlns="http://schemas.openxmlformats.org/spreadsheetml/2006/main" count="271" uniqueCount="202">
  <si>
    <t>Trial two run sheet: Lane C: framework (Zafir, Codex)</t>
  </si>
  <si>
    <t>Everything for your build is in this file: the steps, the prompts, your time log and every prompt you send. At the end it goes into your repo as run-log.xlsx.</t>
  </si>
  <si>
    <t>The tabs</t>
  </si>
  <si>
    <t>Steps: work down it in order and tick each step as you finish it.</t>
  </si>
  <si>
    <t>Prompts: prompts 1 and 2, the same for all three builders.</t>
  </si>
  <si>
    <t>Log: your run details, your time log, and the totals and tokens, which add themselves up.</t>
  </si>
  <si>
    <t>Prompts sent: every message you send to the AI, numbered.</t>
  </si>
  <si>
    <t>Events: lane events, incidents and anything you did differently.</t>
  </si>
  <si>
    <t>How to tick</t>
  </si>
  <si>
    <t>When a step is done, pick ✓ in the Done column and type the time, such as 21:42. The row turns green.</t>
  </si>
  <si>
    <t>The Copy this column holds the exact command or prompt. Single-line cells copy cleanly. For prompt 2, see the Prompts tab.</t>
  </si>
  <si>
    <t>On the Log tab, add a line every time what you're doing changes, and write it as it happens, not afterwards.</t>
  </si>
  <si>
    <t>Before you start</t>
  </si>
  <si>
    <t>Don't start until Zac has posted the start commit for your repo. He adds fixtures/technicians.json to every repo, and AGENTS.md to lane C's, before he posts it.</t>
  </si>
  <si>
    <t>Keep this file in Teams, or anywhere outside your repo folder, until the end, so the AI can't read it.</t>
  </si>
  <si>
    <t>The clock</t>
  </si>
  <si>
    <t>It starts when you send prompt 1 and stops when your PR is open with a green preview. Breaks stop it too, so log them.</t>
  </si>
  <si>
    <t>The estimate is 4 hours and the cap is 6. At 6 hours, open the PR as it is and note it on the Events tab.</t>
  </si>
  <si>
    <t>Rules for everyone</t>
  </si>
  <si>
    <t>No other AI at all: no Copilot, Claude or other chats, and AI suggestions in your editor turned off.</t>
  </si>
  <si>
    <t>Never paste a key into any AI chat, and keep key files out of the repo folder.</t>
  </si>
  <si>
    <t>Nobody gives anyone help with the code.</t>
  </si>
  <si>
    <t>Questions about the brief go to Ahmed, and his answer goes to all three. Questions about these rules go to Sidney. Repo or access problems go to Zac.</t>
  </si>
  <si>
    <t>Don't open the other builders' files, repos or chats, or Zac's PR #75, until Zac's review is done.</t>
  </si>
  <si>
    <t>What a finished row on the Steps tab looks like</t>
  </si>
  <si>
    <t>#</t>
  </si>
  <si>
    <t>What to do</t>
  </si>
  <si>
    <t>Copy this</t>
  </si>
  <si>
    <t>Done</t>
  </si>
  <si>
    <t>Time</t>
  </si>
  <si>
    <t>Notes</t>
  </si>
  <si>
    <t>Check you're on Zac's start commit, and write it on the Log tab. If it doesn't match, stop and tell Zac.</t>
  </si>
  <si>
    <t>git log --oneline -1</t>
  </si>
  <si>
    <t>✓</t>
  </si>
  <si>
    <t>Matched Zac's commit</t>
  </si>
  <si>
    <t>Drafted with Claude (claude.ai) on 17 Oct 2026 from the trial two protocol, Zac's rules of 16 Oct 2026 and his PR #75.</t>
  </si>
  <si>
    <t>Lane C: framework (Zafir, Codex)</t>
  </si>
  <si>
    <t>Codex follows the five stages in AGENTS.md. You approve after each stage, and Sidney approves the PR.</t>
  </si>
  <si>
    <t>Setup, before the clock. Log this time as Setup on the Log tab. It doesn't count toward the build.</t>
  </si>
  <si>
    <t>Make a folder outside your repo for your screenshots.</t>
  </si>
  <si>
    <t>mkdir -p ~/trial-two-log/evidence</t>
  </si>
  <si>
    <t>Wait until Zac posts the start commit for your repo. He adds the technician file to every repo, and AGENTS.md to lane C's, before he posts it. Then clone your repo, or pull it if you cloned it earlier.</t>
  </si>
  <si>
    <t>git pull</t>
  </si>
  <si>
    <t>Check the technician data is there. It should show the file name. If it says No such file, stop and tell Zac.</t>
  </si>
  <si>
    <t>ls fixtures/technicians.json</t>
  </si>
  <si>
    <t>Check the framework's AGENTS.md is there. It should show the file name. If it says No such file, stop and tell Zac.</t>
  </si>
  <si>
    <t>ls AGENTS.md</t>
  </si>
  <si>
    <t>Check the leftover approval rules are gone. It should show nothing. If it shows a line, stop and tell Zac.</t>
  </si>
  <si>
    <t>grep -n "Build experiment" .github/copilot-instructions.md</t>
  </si>
  <si>
    <t>Turn off Copilot and every other AI suggestion in your editor.</t>
  </si>
  <si>
    <t>Create your own Firebase project and connect Vercel to your repo. Type the keys into the Firebase and Vercel dashboards yourself, and add your preview address to Firebase's authorised domains. Never paste a key into an AI chat.</t>
  </si>
  <si>
    <t>Ready check: open a small test PR, check the preview loads and a test user can sign in, and post the preview link to the team. Then close the test PR without merging it.</t>
  </si>
  <si>
    <t>Set Codex to GPT-5.6 Sol at high effort, with the same approval setting you used in trial one. Screenshot it into ~/trial-two-log/evidence/model-setting.png.</t>
  </si>
  <si>
    <t>Screenshot the Codex token usage into ~/trial-two-log/evidence/tokens-start.png, and copy the numbers into Tokens, Before, on the Log tab.</t>
  </si>
  <si>
    <t>Fill in Run details on the Log tab.</t>
  </si>
  <si>
    <t>The first two prompts. The clock starts at prompt 1.</t>
  </si>
  <si>
    <t>Write the time on the Log tab. This starts the clock. Send prompt 1: open Zac's link to acceptance-criteria.md, click Raw, copy everything and paste it as it is. Paste a copy into row 1 of the Prompts sent tab.</t>
  </si>
  <si>
    <t>Send prompt 2 from the Prompts tab, unchanged, and paste it into row 2 of Prompts sent. Add every message you send after this to Prompts sent.</t>
  </si>
  <si>
    <t>See the Prompts tab</t>
  </si>
  <si>
    <t>The build: lane C stages. Codex follows the five stages in AGENTS.md, the same file as trial one, and stops for your approval after each. Note each stage on the Events tab, and log your reading and approving time as Reviewing.</t>
  </si>
  <si>
    <t>Stage 1, plan: Codex shows a plan and stops without editing files. Save it as ~/trial-two-log/evidence/plan.md, then approve it.</t>
  </si>
  <si>
    <t>Plan approved. Go to stage 2 and write the tests first.</t>
  </si>
  <si>
    <t>Stage 2, tests first: Codex writes and runs the tests, then stops. Check they fail because the feature is missing, then reply.</t>
  </si>
  <si>
    <t>Tests approved. Go to stage 3 and implement the plan.</t>
  </si>
  <si>
    <t>Stage 3, implement and verify: Codex builds the plan, runs the checks, shows you the changes and stops. Read the changes against the brief, then reply.</t>
  </si>
  <si>
    <t>Go to stage 4. Review the change against the acceptance criteria and report your findings without editing files.</t>
  </si>
  <si>
    <t>Stage 4, review and correct: Codex lists its findings. If you accept any, use the fix reply below. If none, reply with this.</t>
  </si>
  <si>
    <t>No fixes needed. Go to stage 5.</t>
  </si>
  <si>
    <t>Stage 5, preview and acceptance: Codex asks before it commits, pushes or deploys. Reply with this.</t>
  </si>
  <si>
    <t>Approved. Commit, push and open the pull request, then check each acceptance criterion on the preview.</t>
  </si>
  <si>
    <t>When the PR is open and the preview is green, write the time on the Log tab. The clock stops. Ask Sidney to approve the PR. Codex never approves or merges its own work.</t>
  </si>
  <si>
    <t>Replies to use whenever they apply (no tick). Add each to Prompts sent.</t>
  </si>
  <si>
    <t>Stage 4 findings you accept</t>
  </si>
  <si>
    <t>Fix these findings, then rerun the checks: [the findings you accept].</t>
  </si>
  <si>
    <t>Codex starts writing code before showing a plan: reply with this, and note it on the Events tab</t>
  </si>
  <si>
    <t>Stop. Follow AGENTS.md and show me the plan first.</t>
  </si>
  <si>
    <t>You want the plan changed</t>
  </si>
  <si>
    <t>Change the plan: [what to change]. Then show me the plan again.</t>
  </si>
  <si>
    <t>Codex stops for a change of scope you accept</t>
  </si>
  <si>
    <t>Change approved: [the change].</t>
  </si>
  <si>
    <t>Codex stops for a change of scope you don't accept</t>
  </si>
  <si>
    <t>Not approved. Stay within the approved plan.</t>
  </si>
  <si>
    <t>Finish, after the clock</t>
  </si>
  <si>
    <t>Screenshot the Codex token usage into ~/trial-two-log/evidence/tokens-end.png, and copy the numbers into Tokens, After, on the Log tab.</t>
  </si>
  <si>
    <t>Check the Totals on the Log tab. They add themselves up from your time log.</t>
  </si>
  <si>
    <t>If Codex pushed from the cloud, get its branch first.</t>
  </si>
  <si>
    <t>git fetch &amp;&amp; git checkout feature/technician-dispatch</t>
  </si>
  <si>
    <t>Download this workbook into ~/trial-two-log and name it run-log.xlsx.</t>
  </si>
  <si>
    <t>Copy your log folder into the repo.</t>
  </si>
  <si>
    <t>mkdir -p docs/research/technician-dispatch &amp;&amp; cp -R ~/trial-two-log/. docs/research/technician-dispatch/</t>
  </si>
  <si>
    <t>Commit and push your logs.</t>
  </si>
  <si>
    <t>git add docs/research/technician-dispatch &amp;&amp; git commit -m "docs: add trial two run log" &amp;&amp; git push</t>
  </si>
  <si>
    <t>Post your PR link to Sidney and Zac.</t>
  </si>
  <si>
    <t>Don't look at the other two builds, or at Zac's PR #75, until Zac's review is done.</t>
  </si>
  <si>
    <t>If something goes wrong (no tick)</t>
  </si>
  <si>
    <t>A repo check fails: stop before prompt 1 and tell Zac. Log it as Setup.</t>
  </si>
  <si>
    <t>A key ends up in an AI chat or a file: stop and tell Sidney straight away. Delete that key in the Firebase or Vercel dashboard and make a new one. Write it under Incidents on the Events tab.</t>
  </si>
  <si>
    <t>Your AI session crashes or you lose it: log the time, start a new session, send prompts 1 and 2 again, and write it under Incidents on the Events tab.</t>
  </si>
  <si>
    <t>You're not sure a step fits your lane: ask Sidney before you do it, and write his answer under Deviations on the Events tab.</t>
  </si>
  <si>
    <t>You reach 6 hours: open the PR as it is, and write that under Deviations on the Events tab.</t>
  </si>
  <si>
    <t>Prompts 1 and 2</t>
  </si>
  <si>
    <t>Every lane sends these two first, word for word, so all three AIs start from the same text.</t>
  </si>
  <si>
    <t>Prompt</t>
  </si>
  <si>
    <t>What it is</t>
  </si>
  <si>
    <t>What to send</t>
  </si>
  <si>
    <t>Prompt 1</t>
  </si>
  <si>
    <t>The brief</t>
  </si>
  <si>
    <t>Open Zac's link to acceptance-criteria.md, click Raw, copy everything and paste it as it is. Don't add to it or reword it.</t>
  </si>
  <si>
    <t>Prompt 2</t>
  </si>
  <si>
    <t>How to deliver</t>
  </si>
  <si>
    <t>How to deliver this, for this trial:
1. Work on a branch called feature/technician-dispatch.
2. Use the technician data in fixtures/technicians.json.
3. Commit with conventional commit messages, such as "feat: add dispatch request form". Add a Co-authored-by trailer naming the AI tool and model to at least one commit.
4. Before opening the pull request, run these from the top of the repository:
   mkdir -p docs/research/technician-dispatch/evidence
   pnpm run test:all &gt; docs/research/technician-dispatch/evidence/test.txt 2&gt;&amp;1
   pnpm run typecheck &gt; docs/research/technician-dispatch/evidence/typecheck.txt 2&gt;&amp;1
   pnpm run lint &gt; docs/research/technician-dispatch/evidence/lint.txt 2&gt;&amp;1
   pnpm audit &gt; docs/research/technician-dispatch/evidence/audit.txt 2&gt;&amp;1
5. For each criterion you mark as passing, save a screenshot of it working as docs/research/technician-dispatch/evidence/T2-AC01.png, T2-AC02.png and so on.
6. Open a pull request with a conventional title. In the description, put the Vercel preview link once the preview has built, and a checklist of T2-AC01 to T2-AC14, each marked pass or fail with its evidence file. Tick "AI-assisted tools were used" in the template.
7. Don't build anything on the out-of-scope list, and never ask for a key, password or other secret.</t>
  </si>
  <si>
    <t>To copy prompt 2 exactly, double-click its cell, select all the text inside it and copy. Copying the whole cell can add quote marks.</t>
  </si>
  <si>
    <t>Run log: Lane C: framework (Zafir, Codex)</t>
  </si>
  <si>
    <t>Write each line as it happens, not afterwards. Melbourne time, 24-hour clock, such as 21:42.</t>
  </si>
  <si>
    <t>Run details</t>
  </si>
  <si>
    <t>Totals (they add themselves up)</t>
  </si>
  <si>
    <t>Builder</t>
  </si>
  <si>
    <t>Zafir Hasan</t>
  </si>
  <si>
    <t>Setup, not part of the build</t>
  </si>
  <si>
    <t>Lane</t>
  </si>
  <si>
    <t>C, Framework</t>
  </si>
  <si>
    <t>Active</t>
  </si>
  <si>
    <t>Repository</t>
  </si>
  <si>
    <t>zacclarkson/nbn-run2-gated</t>
  </si>
  <si>
    <t>Reviewing</t>
  </si>
  <si>
    <t>Feature branch</t>
  </si>
  <si>
    <t>feature/technician-dispatch</t>
  </si>
  <si>
    <t>Waiting</t>
  </si>
  <si>
    <t>Start commit</t>
  </si>
  <si>
    <t>Breaks</t>
  </si>
  <si>
    <t>Tool and surface (Codex CLI, IDE extension or cloud)</t>
  </si>
  <si>
    <t>Elapsed build time = Active + Reviewing + Waiting</t>
  </si>
  <si>
    <t>Model and effort</t>
  </si>
  <si>
    <t>GPT-5.6 Sol, high</t>
  </si>
  <si>
    <t>Active human minutes = Active + Reviewing</t>
  </si>
  <si>
    <t>Codex approval setting</t>
  </si>
  <si>
    <t>Within the 360-minute cap</t>
  </si>
  <si>
    <t>First prompt sent (date and time)</t>
  </si>
  <si>
    <t>Minutes. The estimate is 240 and the cap is 360.</t>
  </si>
  <si>
    <t>PR open with a green preview (date and time)</t>
  </si>
  <si>
    <t>Pull request</t>
  </si>
  <si>
    <t>Tokens</t>
  </si>
  <si>
    <t>Preview</t>
  </si>
  <si>
    <t>Reading</t>
  </si>
  <si>
    <t>Input</t>
  </si>
  <si>
    <t>Cached input</t>
  </si>
  <si>
    <t>Output</t>
  </si>
  <si>
    <t>Before prompt 1</t>
  </si>
  <si>
    <t>After the PR opens</t>
  </si>
  <si>
    <t>Used (after minus before)</t>
  </si>
  <si>
    <t>Time log. Add a line every time what you're doing changes. Setup: linking and the ready check. Active: prompting, pasting, running commands or typing. Reviewing: reading or checking the AI's work. Waiting: the AI works and you don't. Break: the clock is stopped.</t>
  </si>
  <si>
    <t>Date</t>
  </si>
  <si>
    <t>Start</t>
  </si>
  <si>
    <t>End</t>
  </si>
  <si>
    <t>Type</t>
  </si>
  <si>
    <t>What happened</t>
  </si>
  <si>
    <t>Minutes</t>
  </si>
  <si>
    <t>Setup</t>
  </si>
  <si>
    <t>Firebase project and Vercel linking</t>
  </si>
  <si>
    <t>Ready check: test PR, preview loads, test user signs in</t>
  </si>
  <si>
    <t>Prompts sent</t>
  </si>
  <si>
    <t>Every message you send to the AI, numbered, in order. Paste the exact text. For the reply, a short note or a link to the chat export is enough.</t>
  </si>
  <si>
    <t>Exact text sent</t>
  </si>
  <si>
    <t>Reply, or link to the chat export</t>
  </si>
  <si>
    <t>Prompt 1, the brief</t>
  </si>
  <si>
    <t>Prompt 2, how to deliver</t>
  </si>
  <si>
    <t>Events</t>
  </si>
  <si>
    <t>Lane events</t>
  </si>
  <si>
    <t>Every stage in AGENTS.md: plan shown and approved, tests written and approved, changes shown, review findings and fixes, approval to commit and push, and Sidney's approval of the PR.</t>
  </si>
  <si>
    <t>Event</t>
  </si>
  <si>
    <t>Detail</t>
  </si>
  <si>
    <t>Incidents</t>
  </si>
  <si>
    <t>Anything that went wrong outside the code, such as a key shown to an AI, a deploy that skipped a change, or a tool outage. Write None if there were none.</t>
  </si>
  <si>
    <t>What you did</t>
  </si>
  <si>
    <t>Deviations</t>
  </si>
  <si>
    <t>Anything you did differently from the run sheet, and why. Write None if there were none.</t>
  </si>
  <si>
    <t>What you did differently</t>
  </si>
  <si>
    <t>Why</t>
  </si>
  <si>
    <t>This file was not present so I added it myself</t>
  </si>
  <si>
    <t>This file was not present either so I added it myself. It was a modified version of the AGENTS.md used for fault-reporting run</t>
  </si>
  <si>
    <t>This file was leftover in the repository. It was kept as the root AGENTS.md would be prioritized over this anyways.</t>
  </si>
  <si>
    <t>https://chatgpt.com/s/cx_6ad4796260488191b3c53daabfc9120d</t>
  </si>
  <si>
    <t>Prompt 1 and 2 sent (combined): the whole acceptance-criteria.md</t>
  </si>
  <si>
    <t>Waiting for response</t>
  </si>
  <si>
    <t>Reviewing generated plan</t>
  </si>
  <si>
    <t>Sent approval of the plan</t>
  </si>
  <si>
    <t>Reviewing tests</t>
  </si>
  <si>
    <t>Sent approval of tests</t>
  </si>
  <si>
    <t>Reviewing implementation</t>
  </si>
  <si>
    <t>Approving implementation and asking for dependency fix</t>
  </si>
  <si>
    <t>Reviewing dependency fix</t>
  </si>
  <si>
    <t>Prompting for stage 4</t>
  </si>
  <si>
    <t>Reviewing changes suggested resulting from stage 4 inspection</t>
  </si>
  <si>
    <t>Reviewing code changes from stage 4</t>
  </si>
  <si>
    <t>Mixture of reviewing, active verification, and waiting for AC verification (AC1 to AC3)</t>
  </si>
  <si>
    <t>Mixture of reviewing, active verification, and waiting for AC verification (AC4 to AC14)</t>
  </si>
  <si>
    <t>Codex Desktop App</t>
  </si>
  <si>
    <t>Ask for approval</t>
  </si>
  <si>
    <t>13:49 18th October</t>
  </si>
  <si>
    <t>14:44 18th October</t>
  </si>
  <si>
    <t>https://github.com/Peepachuu/nbn-run2-gated/pull/2</t>
  </si>
  <si>
    <t>https://nbn-run2-gated-git-feature-technician-dispatch-treeko.vercel.app/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</si>
</sst>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
    <numFmt numFmtId="165" formatCode="dd\ mmm"/>
  </numFmts>
  <fonts count="14" x14ac:knownFonts="1">
    <font>
      <sz val="11"/>
      <color theme="1"/>
      <name val="Calibri"/>
      <family val="2"/>
      <charset val="1"/>
    </font>
    <font>
      <b/>
      <sz val="14"/>
      <name val="Arial"/>
      <charset val="1"/>
    </font>
    <font>
      <i/>
      <sz val="10"/>
      <color rgb="FF404040"/>
      <name val="Arial"/>
      <charset val="1"/>
    </font>
    <font>
      <b/>
      <sz val="10"/>
      <name val="Arial"/>
      <charset val="1"/>
    </font>
    <font>
      <sz val="10"/>
      <name val="Arial"/>
      <charset val="1"/>
    </font>
    <font>
      <sz val="10"/>
      <name val="Courier New"/>
      <charset val="1"/>
    </font>
    <font>
      <b/>
      <sz val="10"/>
      <color rgb="FFFFFFFF"/>
      <name val="Arial"/>
      <charset val="1"/>
    </font>
    <font>
      <i/>
      <sz val="10"/>
      <name val="Arial"/>
      <charset val="1"/>
    </font>
    <font>
      <sz val="10"/>
      <color rgb="FF404040"/>
      <name val="Arial"/>
      <charset val="1"/>
    </font>
    <font>
      <sz val="10"/>
      <color rgb="FF0000FF"/>
      <name val="Arial"/>
      <charset val="1"/>
    </font>
    <font>
      <sz val="10"/>
      <name val="Arial"/>
      <family val="2"/>
    </font>
    <font>
      <sz val="8"/>
      <name val="Calibri"/>
      <family val="2"/>
      <charset val="1"/>
    </font>
    <font>
      <sz val="10"/>
      <color rgb="FF0000FF"/>
      <name val="Arial"/>
      <family val="2"/>
    </font>
    <font>
      <u/>
      <sz val="11"/>
      <color theme="10"/>
      <name val="Calibri"/>
      <family val="2"/>
      <charset val="1"/>
    </font>
  </fonts>
  <fills count="7">
    <fill>
      <patternFill patternType="none"/>
    </fill>
    <fill>
      <patternFill patternType="gray125"/>
    </fill>
    <fill>
      <patternFill patternType="solid">
        <fgColor rgb="FFD9D9D9"/>
        <bgColor rgb="FFC6EFCE"/>
      </patternFill>
    </fill>
    <fill>
      <patternFill patternType="solid">
        <fgColor rgb="FFC6EFCE"/>
        <bgColor rgb="FFD9D9D9"/>
      </patternFill>
    </fill>
    <fill>
      <patternFill patternType="solid">
        <fgColor rgb="FF44546A"/>
        <bgColor rgb="FF404040"/>
      </patternFill>
    </fill>
    <fill>
      <patternFill patternType="solid">
        <fgColor rgb="FFF2F2F2"/>
        <bgColor rgb="FFFFFFFF"/>
      </patternFill>
    </fill>
    <fill>
      <patternFill patternType="solid">
        <fgColor rgb="FFFFF2C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3" fillId="0" borderId="0" applyNumberFormat="0" applyFill="0" applyBorder="0" applyAlignment="0" applyProtection="0"/>
  </cellStyleXfs>
  <cellXfs count="43">
    <xf numFmtId="0" fontId="0" fillId="0" borderId="0" xfId="0"/>
    <xf numFmtId="0" fontId="9" fillId="6" borderId="1" xfId="0" applyFont="1" applyFill="1" applyBorder="1" applyAlignment="1">
      <alignment vertical="top" wrapText="1"/>
    </xf>
    <xf numFmtId="0" fontId="4" fillId="0" borderId="1" xfId="0" applyFont="1" applyBorder="1" applyAlignment="1">
      <alignment vertical="top" wrapText="1"/>
    </xf>
    <xf numFmtId="0" fontId="6" fillId="4" borderId="0" xfId="0" applyFont="1" applyFill="1" applyAlignment="1">
      <alignment vertical="center" wrapText="1"/>
    </xf>
    <xf numFmtId="0" fontId="1" fillId="0" borderId="0" xfId="0" applyFont="1"/>
    <xf numFmtId="0" fontId="2" fillId="0" borderId="0" xfId="0" applyFont="1"/>
    <xf numFmtId="0" fontId="3" fillId="0" borderId="0" xfId="0" applyFont="1"/>
    <xf numFmtId="0" fontId="4" fillId="0" borderId="0" xfId="0" applyFont="1"/>
    <xf numFmtId="0" fontId="3" fillId="2"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164" fontId="4" fillId="3" borderId="1" xfId="0" applyNumberFormat="1" applyFont="1" applyFill="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5" fillId="5" borderId="1" xfId="0" applyFont="1" applyFill="1" applyBorder="1" applyAlignment="1">
      <alignment vertical="top" wrapText="1"/>
    </xf>
    <xf numFmtId="0" fontId="4" fillId="6" borderId="1" xfId="0" applyFont="1" applyFill="1" applyBorder="1" applyAlignment="1">
      <alignment horizontal="center" vertical="top" wrapText="1"/>
    </xf>
    <xf numFmtId="164" fontId="4" fillId="6" borderId="1" xfId="0" applyNumberFormat="1" applyFont="1" applyFill="1" applyBorder="1" applyAlignment="1">
      <alignment horizontal="center" vertical="top" wrapText="1"/>
    </xf>
    <xf numFmtId="0" fontId="4" fillId="6" borderId="1" xfId="0" applyFont="1" applyFill="1" applyBorder="1" applyAlignment="1">
      <alignment vertical="top" wrapText="1"/>
    </xf>
    <xf numFmtId="0" fontId="0" fillId="0" borderId="1" xfId="0" applyBorder="1" applyAlignment="1">
      <alignment vertical="top" wrapText="1"/>
    </xf>
    <xf numFmtId="0" fontId="7" fillId="5" borderId="1" xfId="0" applyFont="1" applyFill="1" applyBorder="1" applyAlignment="1">
      <alignment vertical="top" wrapText="1"/>
    </xf>
    <xf numFmtId="0" fontId="0" fillId="0" borderId="1" xfId="0" applyBorder="1"/>
    <xf numFmtId="0" fontId="8" fillId="0" borderId="1" xfId="0" applyFont="1" applyBorder="1" applyAlignment="1">
      <alignment vertical="top" wrapText="1"/>
    </xf>
    <xf numFmtId="0" fontId="3" fillId="2" borderId="1" xfId="0" applyFont="1" applyFill="1" applyBorder="1"/>
    <xf numFmtId="0" fontId="3" fillId="0" borderId="1" xfId="0" applyFont="1" applyBorder="1" applyAlignment="1">
      <alignment vertical="top" wrapText="1"/>
    </xf>
    <xf numFmtId="1" fontId="4" fillId="0" borderId="1" xfId="0" applyNumberFormat="1" applyFont="1" applyBorder="1" applyAlignment="1">
      <alignment horizontal="center" vertical="top"/>
    </xf>
    <xf numFmtId="0" fontId="9" fillId="6" borderId="1" xfId="0" applyFont="1" applyFill="1" applyBorder="1" applyAlignment="1">
      <alignment vertical="top" wrapText="1"/>
    </xf>
    <xf numFmtId="1" fontId="3" fillId="0" borderId="1" xfId="0" applyNumberFormat="1" applyFont="1" applyBorder="1" applyAlignment="1">
      <alignment horizontal="center" vertical="top"/>
    </xf>
    <xf numFmtId="0" fontId="4" fillId="0" borderId="1" xfId="0" applyFont="1" applyBorder="1"/>
    <xf numFmtId="3" fontId="9" fillId="6" borderId="1" xfId="0" applyNumberFormat="1" applyFont="1" applyFill="1" applyBorder="1"/>
    <xf numFmtId="3" fontId="3" fillId="0" borderId="1" xfId="0" applyNumberFormat="1" applyFont="1" applyBorder="1"/>
    <xf numFmtId="165" fontId="9" fillId="6" borderId="1" xfId="0" applyNumberFormat="1" applyFont="1" applyFill="1" applyBorder="1"/>
    <xf numFmtId="164" fontId="9" fillId="6" borderId="1" xfId="0" applyNumberFormat="1" applyFont="1" applyFill="1" applyBorder="1"/>
    <xf numFmtId="0" fontId="9" fillId="6" borderId="1" xfId="0" applyFont="1" applyFill="1" applyBorder="1"/>
    <xf numFmtId="0" fontId="4" fillId="0" borderId="1" xfId="0" applyFont="1" applyBorder="1" applyAlignment="1">
      <alignment horizontal="center" vertical="top"/>
    </xf>
    <xf numFmtId="164" fontId="9" fillId="6" borderId="1" xfId="0" applyNumberFormat="1" applyFont="1" applyFill="1" applyBorder="1" applyAlignment="1">
      <alignment vertical="top" wrapText="1"/>
    </xf>
    <xf numFmtId="0" fontId="10" fillId="6" borderId="1" xfId="0" applyFont="1" applyFill="1" applyBorder="1" applyAlignment="1">
      <alignment horizontal="center" vertical="top" wrapText="1"/>
    </xf>
    <xf numFmtId="0" fontId="10" fillId="6" borderId="1" xfId="0" applyFont="1" applyFill="1" applyBorder="1" applyAlignment="1">
      <alignment vertical="top" wrapText="1"/>
    </xf>
    <xf numFmtId="0" fontId="12" fillId="6" borderId="1" xfId="0" applyFont="1" applyFill="1" applyBorder="1" applyAlignment="1">
      <alignment vertical="top" wrapText="1"/>
    </xf>
    <xf numFmtId="165" fontId="12" fillId="6" borderId="1" xfId="0" applyNumberFormat="1" applyFont="1" applyFill="1" applyBorder="1"/>
    <xf numFmtId="0" fontId="12" fillId="6" borderId="1" xfId="0" applyFont="1" applyFill="1" applyBorder="1"/>
    <xf numFmtId="0" fontId="12" fillId="6" borderId="1" xfId="0" applyFont="1" applyFill="1" applyBorder="1" applyAlignment="1">
      <alignment vertical="top" wrapText="1"/>
    </xf>
    <xf numFmtId="0" fontId="13" fillId="6" borderId="1" xfId="1" applyFill="1" applyBorder="1" applyAlignment="1">
      <alignment vertical="top" wrapText="1"/>
    </xf>
  </cellXfs>
  <cellStyles count="2">
    <cellStyle name="Hyperlink" xfId="1" builtinId="8"/>
    <cellStyle name="Normal" xfId="0" builtinId="0"/>
  </cellStyles>
  <dxfs count="1">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nbn-run2-gated-git-feature-technician-dispatch-treeko.vercel.app/" TargetMode="External"/><Relationship Id="rId1" Type="http://schemas.openxmlformats.org/officeDocument/2006/relationships/hyperlink" Target="https://github.com/Peepachuu/nbn-run2-gated/pull/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5"/>
  <sheetViews>
    <sheetView zoomScaleNormal="100" workbookViewId="0"/>
  </sheetViews>
  <sheetFormatPr baseColWidth="10" defaultColWidth="8.6640625" defaultRowHeight="15" x14ac:dyDescent="0.2"/>
  <cols>
    <col min="1" max="1" width="5" customWidth="1"/>
    <col min="2" max="2" width="56" customWidth="1"/>
    <col min="3" max="3" width="34" customWidth="1"/>
    <col min="4" max="4" width="8" customWidth="1"/>
    <col min="5" max="5" width="9" customWidth="1"/>
    <col min="6" max="6" width="22" customWidth="1"/>
  </cols>
  <sheetData>
    <row r="1" spans="1:1" ht="18" x14ac:dyDescent="0.2">
      <c r="A1" s="4" t="s">
        <v>0</v>
      </c>
    </row>
    <row r="2" spans="1:1" x14ac:dyDescent="0.2">
      <c r="A2" s="5" t="s">
        <v>1</v>
      </c>
    </row>
    <row r="4" spans="1:1" x14ac:dyDescent="0.2">
      <c r="A4" s="6" t="s">
        <v>2</v>
      </c>
    </row>
    <row r="5" spans="1:1" x14ac:dyDescent="0.2">
      <c r="A5" s="7" t="s">
        <v>3</v>
      </c>
    </row>
    <row r="6" spans="1:1" x14ac:dyDescent="0.2">
      <c r="A6" s="7" t="s">
        <v>4</v>
      </c>
    </row>
    <row r="7" spans="1:1" x14ac:dyDescent="0.2">
      <c r="A7" s="7" t="s">
        <v>5</v>
      </c>
    </row>
    <row r="8" spans="1:1" x14ac:dyDescent="0.2">
      <c r="A8" s="7" t="s">
        <v>6</v>
      </c>
    </row>
    <row r="9" spans="1:1" x14ac:dyDescent="0.2">
      <c r="A9" s="7" t="s">
        <v>7</v>
      </c>
    </row>
    <row r="11" spans="1:1" x14ac:dyDescent="0.2">
      <c r="A11" s="6" t="s">
        <v>8</v>
      </c>
    </row>
    <row r="12" spans="1:1" x14ac:dyDescent="0.2">
      <c r="A12" s="7" t="s">
        <v>9</v>
      </c>
    </row>
    <row r="13" spans="1:1" x14ac:dyDescent="0.2">
      <c r="A13" s="7" t="s">
        <v>10</v>
      </c>
    </row>
    <row r="14" spans="1:1" x14ac:dyDescent="0.2">
      <c r="A14" s="7" t="s">
        <v>11</v>
      </c>
    </row>
    <row r="16" spans="1:1" x14ac:dyDescent="0.2">
      <c r="A16" s="6" t="s">
        <v>12</v>
      </c>
    </row>
    <row r="17" spans="1:6" x14ac:dyDescent="0.2">
      <c r="A17" s="7" t="s">
        <v>13</v>
      </c>
    </row>
    <row r="18" spans="1:6" x14ac:dyDescent="0.2">
      <c r="A18" s="7" t="s">
        <v>14</v>
      </c>
    </row>
    <row r="20" spans="1:6" x14ac:dyDescent="0.2">
      <c r="A20" s="6" t="s">
        <v>15</v>
      </c>
    </row>
    <row r="21" spans="1:6" x14ac:dyDescent="0.2">
      <c r="A21" s="7" t="s">
        <v>16</v>
      </c>
    </row>
    <row r="22" spans="1:6" x14ac:dyDescent="0.2">
      <c r="A22" s="7" t="s">
        <v>17</v>
      </c>
    </row>
    <row r="24" spans="1:6" x14ac:dyDescent="0.2">
      <c r="A24" s="6" t="s">
        <v>18</v>
      </c>
    </row>
    <row r="25" spans="1:6" x14ac:dyDescent="0.2">
      <c r="A25" s="7" t="s">
        <v>19</v>
      </c>
    </row>
    <row r="26" spans="1:6" x14ac:dyDescent="0.2">
      <c r="A26" s="7" t="s">
        <v>20</v>
      </c>
    </row>
    <row r="27" spans="1:6" x14ac:dyDescent="0.2">
      <c r="A27" s="7" t="s">
        <v>21</v>
      </c>
    </row>
    <row r="28" spans="1:6" x14ac:dyDescent="0.2">
      <c r="A28" s="7" t="s">
        <v>22</v>
      </c>
    </row>
    <row r="29" spans="1:6" x14ac:dyDescent="0.2">
      <c r="A29" s="7" t="s">
        <v>23</v>
      </c>
    </row>
    <row r="31" spans="1:6" x14ac:dyDescent="0.2">
      <c r="A31" s="6" t="s">
        <v>24</v>
      </c>
    </row>
    <row r="32" spans="1:6" x14ac:dyDescent="0.2">
      <c r="A32" s="8" t="s">
        <v>25</v>
      </c>
      <c r="B32" s="8" t="s">
        <v>26</v>
      </c>
      <c r="C32" s="8" t="s">
        <v>27</v>
      </c>
      <c r="D32" s="8" t="s">
        <v>28</v>
      </c>
      <c r="E32" s="8" t="s">
        <v>29</v>
      </c>
      <c r="F32" s="8" t="s">
        <v>30</v>
      </c>
    </row>
    <row r="33" spans="1:6" ht="28" x14ac:dyDescent="0.2">
      <c r="A33" s="9">
        <v>3</v>
      </c>
      <c r="B33" s="10" t="s">
        <v>31</v>
      </c>
      <c r="C33" s="11" t="s">
        <v>32</v>
      </c>
      <c r="D33" s="9" t="s">
        <v>33</v>
      </c>
      <c r="E33" s="12">
        <v>0.90416666666666701</v>
      </c>
      <c r="F33" s="10" t="s">
        <v>34</v>
      </c>
    </row>
    <row r="35" spans="1:6" x14ac:dyDescent="0.2">
      <c r="A35" s="5" t="s">
        <v>35</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49"/>
  <sheetViews>
    <sheetView zoomScale="125" zoomScaleNormal="100" workbookViewId="0">
      <pane ySplit="5" topLeftCell="A28" activePane="bottomLeft" state="frozen"/>
      <selection pane="bottomLeft" activeCell="D37" sqref="D37"/>
    </sheetView>
  </sheetViews>
  <sheetFormatPr baseColWidth="10" defaultColWidth="8.6640625" defaultRowHeight="15" x14ac:dyDescent="0.2"/>
  <cols>
    <col min="1" max="1" width="5" customWidth="1"/>
    <col min="2" max="2" width="62" customWidth="1"/>
    <col min="3" max="3" width="64" customWidth="1"/>
    <col min="4" max="4" width="8" customWidth="1"/>
    <col min="5" max="5" width="9" customWidth="1"/>
    <col min="6" max="6" width="26" customWidth="1"/>
  </cols>
  <sheetData>
    <row r="1" spans="1:6" ht="18" x14ac:dyDescent="0.2">
      <c r="A1" s="4" t="s">
        <v>36</v>
      </c>
    </row>
    <row r="2" spans="1:6" x14ac:dyDescent="0.2">
      <c r="A2" s="5" t="s">
        <v>37</v>
      </c>
    </row>
    <row r="3" spans="1:6" x14ac:dyDescent="0.2">
      <c r="B3" s="6" t="str">
        <f>"Progress: "&amp;COUNTIF(D6:D120,"✓")&amp;" of "&amp;COUNT(A6:A120)&amp;" steps done"</f>
        <v>Progress: 28 of 28 steps done</v>
      </c>
    </row>
    <row r="5" spans="1:6" x14ac:dyDescent="0.2">
      <c r="A5" s="8" t="s">
        <v>25</v>
      </c>
      <c r="B5" s="8" t="s">
        <v>26</v>
      </c>
      <c r="C5" s="8" t="s">
        <v>27</v>
      </c>
      <c r="D5" s="8" t="s">
        <v>28</v>
      </c>
      <c r="E5" s="8" t="s">
        <v>29</v>
      </c>
      <c r="F5" s="8" t="s">
        <v>30</v>
      </c>
    </row>
    <row r="6" spans="1:6" ht="15" customHeight="1" x14ac:dyDescent="0.2">
      <c r="A6" s="3" t="s">
        <v>38</v>
      </c>
      <c r="B6" s="3"/>
      <c r="C6" s="3"/>
      <c r="D6" s="3"/>
      <c r="E6" s="3"/>
      <c r="F6" s="3"/>
    </row>
    <row r="7" spans="1:6" x14ac:dyDescent="0.2">
      <c r="A7" s="13">
        <v>1</v>
      </c>
      <c r="B7" s="14" t="s">
        <v>39</v>
      </c>
      <c r="C7" s="15" t="s">
        <v>40</v>
      </c>
      <c r="D7" s="36" t="s">
        <v>33</v>
      </c>
      <c r="E7" s="17"/>
      <c r="F7" s="18"/>
    </row>
    <row r="8" spans="1:6" ht="42" x14ac:dyDescent="0.2">
      <c r="A8" s="13">
        <v>2</v>
      </c>
      <c r="B8" s="14" t="s">
        <v>41</v>
      </c>
      <c r="C8" s="15" t="s">
        <v>42</v>
      </c>
      <c r="D8" s="16" t="s">
        <v>33</v>
      </c>
      <c r="E8" s="17"/>
      <c r="F8" s="18"/>
    </row>
    <row r="9" spans="1:6" ht="28" x14ac:dyDescent="0.2">
      <c r="A9" s="13">
        <v>3</v>
      </c>
      <c r="B9" s="14" t="s">
        <v>31</v>
      </c>
      <c r="C9" s="15" t="s">
        <v>32</v>
      </c>
      <c r="D9" s="36" t="s">
        <v>33</v>
      </c>
      <c r="E9" s="17"/>
      <c r="F9" s="18"/>
    </row>
    <row r="10" spans="1:6" ht="28" x14ac:dyDescent="0.2">
      <c r="A10" s="13">
        <v>4</v>
      </c>
      <c r="B10" s="14" t="s">
        <v>43</v>
      </c>
      <c r="C10" s="15" t="s">
        <v>44</v>
      </c>
      <c r="D10" s="16" t="s">
        <v>33</v>
      </c>
      <c r="E10" s="17"/>
      <c r="F10" s="37" t="s">
        <v>178</v>
      </c>
    </row>
    <row r="11" spans="1:6" ht="70" x14ac:dyDescent="0.2">
      <c r="A11" s="13">
        <v>5</v>
      </c>
      <c r="B11" s="14" t="s">
        <v>45</v>
      </c>
      <c r="C11" s="15" t="s">
        <v>46</v>
      </c>
      <c r="D11" s="36" t="s">
        <v>33</v>
      </c>
      <c r="E11" s="17"/>
      <c r="F11" s="37" t="s">
        <v>179</v>
      </c>
    </row>
    <row r="12" spans="1:6" ht="56" x14ac:dyDescent="0.2">
      <c r="A12" s="13">
        <v>6</v>
      </c>
      <c r="B12" s="14" t="s">
        <v>47</v>
      </c>
      <c r="C12" s="15" t="s">
        <v>48</v>
      </c>
      <c r="D12" s="16" t="s">
        <v>33</v>
      </c>
      <c r="E12" s="17"/>
      <c r="F12" s="37" t="s">
        <v>180</v>
      </c>
    </row>
    <row r="13" spans="1:6" x14ac:dyDescent="0.2">
      <c r="A13" s="13">
        <v>7</v>
      </c>
      <c r="B13" s="14" t="s">
        <v>49</v>
      </c>
      <c r="C13" s="19"/>
      <c r="D13" s="16" t="s">
        <v>33</v>
      </c>
      <c r="E13" s="17"/>
      <c r="F13" s="18"/>
    </row>
    <row r="14" spans="1:6" ht="42" x14ac:dyDescent="0.2">
      <c r="A14" s="13">
        <v>8</v>
      </c>
      <c r="B14" s="14" t="s">
        <v>50</v>
      </c>
      <c r="C14" s="19"/>
      <c r="D14" s="16" t="s">
        <v>33</v>
      </c>
      <c r="E14" s="17"/>
      <c r="F14" s="18"/>
    </row>
    <row r="15" spans="1:6" ht="42" x14ac:dyDescent="0.2">
      <c r="A15" s="13">
        <v>9</v>
      </c>
      <c r="B15" s="14" t="s">
        <v>51</v>
      </c>
      <c r="C15" s="19"/>
      <c r="D15" s="16" t="s">
        <v>33</v>
      </c>
      <c r="E15" s="17"/>
      <c r="F15" s="18"/>
    </row>
    <row r="16" spans="1:6" ht="28" x14ac:dyDescent="0.2">
      <c r="A16" s="13">
        <v>10</v>
      </c>
      <c r="B16" s="14" t="s">
        <v>52</v>
      </c>
      <c r="C16" s="19"/>
      <c r="D16" s="36" t="s">
        <v>33</v>
      </c>
      <c r="E16" s="17"/>
      <c r="F16" s="18"/>
    </row>
    <row r="17" spans="1:6" ht="28" x14ac:dyDescent="0.2">
      <c r="A17" s="13">
        <v>11</v>
      </c>
      <c r="B17" s="14" t="s">
        <v>53</v>
      </c>
      <c r="C17" s="19"/>
      <c r="D17" s="16" t="s">
        <v>33</v>
      </c>
      <c r="E17" s="17"/>
      <c r="F17" s="18"/>
    </row>
    <row r="18" spans="1:6" x14ac:dyDescent="0.2">
      <c r="A18" s="13">
        <v>12</v>
      </c>
      <c r="B18" s="14" t="s">
        <v>54</v>
      </c>
      <c r="C18" s="19"/>
      <c r="D18" s="16" t="s">
        <v>33</v>
      </c>
      <c r="E18" s="17"/>
      <c r="F18" s="18"/>
    </row>
    <row r="19" spans="1:6" ht="15" customHeight="1" x14ac:dyDescent="0.2">
      <c r="A19" s="3" t="s">
        <v>55</v>
      </c>
      <c r="B19" s="3"/>
      <c r="C19" s="3"/>
      <c r="D19" s="3"/>
      <c r="E19" s="3"/>
      <c r="F19" s="3"/>
    </row>
    <row r="20" spans="1:6" ht="42" x14ac:dyDescent="0.2">
      <c r="A20" s="13">
        <v>13</v>
      </c>
      <c r="B20" s="14" t="s">
        <v>56</v>
      </c>
      <c r="C20" s="19"/>
      <c r="D20" s="16" t="s">
        <v>33</v>
      </c>
      <c r="E20" s="17"/>
      <c r="F20" s="18"/>
    </row>
    <row r="21" spans="1:6" ht="28" x14ac:dyDescent="0.2">
      <c r="A21" s="13">
        <v>14</v>
      </c>
      <c r="B21" s="14" t="s">
        <v>57</v>
      </c>
      <c r="C21" s="20" t="s">
        <v>58</v>
      </c>
      <c r="D21" s="16" t="s">
        <v>33</v>
      </c>
      <c r="E21" s="17"/>
      <c r="F21" s="18"/>
    </row>
    <row r="22" spans="1:6" ht="23.75" customHeight="1" x14ac:dyDescent="0.2">
      <c r="A22" s="3" t="s">
        <v>59</v>
      </c>
      <c r="B22" s="3"/>
      <c r="C22" s="3"/>
      <c r="D22" s="3"/>
      <c r="E22" s="3"/>
      <c r="F22" s="3"/>
    </row>
    <row r="23" spans="1:6" ht="28" x14ac:dyDescent="0.2">
      <c r="A23" s="13">
        <v>15</v>
      </c>
      <c r="B23" s="14" t="s">
        <v>60</v>
      </c>
      <c r="C23" s="15" t="s">
        <v>61</v>
      </c>
      <c r="D23" s="16" t="s">
        <v>33</v>
      </c>
      <c r="E23" s="17"/>
      <c r="F23" s="18"/>
    </row>
    <row r="24" spans="1:6" ht="28" x14ac:dyDescent="0.2">
      <c r="A24" s="13">
        <v>16</v>
      </c>
      <c r="B24" s="14" t="s">
        <v>62</v>
      </c>
      <c r="C24" s="15" t="s">
        <v>63</v>
      </c>
      <c r="D24" s="16" t="s">
        <v>33</v>
      </c>
      <c r="E24" s="17"/>
      <c r="F24" s="18"/>
    </row>
    <row r="25" spans="1:6" ht="30" x14ac:dyDescent="0.2">
      <c r="A25" s="13">
        <v>17</v>
      </c>
      <c r="B25" s="14" t="s">
        <v>64</v>
      </c>
      <c r="C25" s="15" t="s">
        <v>65</v>
      </c>
      <c r="D25" s="36" t="s">
        <v>33</v>
      </c>
      <c r="E25" s="17"/>
      <c r="F25" s="18"/>
    </row>
    <row r="26" spans="1:6" ht="28" x14ac:dyDescent="0.2">
      <c r="A26" s="13">
        <v>18</v>
      </c>
      <c r="B26" s="14" t="s">
        <v>66</v>
      </c>
      <c r="C26" s="15" t="s">
        <v>67</v>
      </c>
      <c r="D26" s="36" t="s">
        <v>33</v>
      </c>
      <c r="E26" s="17"/>
      <c r="F26" s="18"/>
    </row>
    <row r="27" spans="1:6" ht="30" x14ac:dyDescent="0.2">
      <c r="A27" s="13">
        <v>19</v>
      </c>
      <c r="B27" s="14" t="s">
        <v>68</v>
      </c>
      <c r="C27" s="15" t="s">
        <v>69</v>
      </c>
      <c r="D27" s="16" t="s">
        <v>33</v>
      </c>
      <c r="E27" s="17"/>
      <c r="F27" s="18"/>
    </row>
    <row r="28" spans="1:6" ht="42" x14ac:dyDescent="0.2">
      <c r="A28" s="13">
        <v>20</v>
      </c>
      <c r="B28" s="14" t="s">
        <v>70</v>
      </c>
      <c r="C28" s="19"/>
      <c r="D28" s="16" t="s">
        <v>33</v>
      </c>
      <c r="E28" s="17"/>
      <c r="F28" s="18"/>
    </row>
    <row r="29" spans="1:6" ht="15" customHeight="1" x14ac:dyDescent="0.2">
      <c r="A29" s="3" t="s">
        <v>71</v>
      </c>
      <c r="B29" s="3"/>
      <c r="C29" s="3"/>
      <c r="D29" s="3"/>
      <c r="E29" s="3"/>
      <c r="F29" s="3"/>
    </row>
    <row r="30" spans="1:6" ht="30" x14ac:dyDescent="0.2">
      <c r="A30" s="21"/>
      <c r="B30" s="14" t="s">
        <v>72</v>
      </c>
      <c r="C30" s="15" t="s">
        <v>73</v>
      </c>
      <c r="D30" s="21"/>
      <c r="E30" s="21"/>
      <c r="F30" s="21"/>
    </row>
    <row r="31" spans="1:6" ht="28" x14ac:dyDescent="0.2">
      <c r="A31" s="21"/>
      <c r="B31" s="14" t="s">
        <v>74</v>
      </c>
      <c r="C31" s="15" t="s">
        <v>75</v>
      </c>
      <c r="D31" s="21"/>
      <c r="E31" s="21"/>
      <c r="F31" s="21"/>
    </row>
    <row r="32" spans="1:6" ht="30" x14ac:dyDescent="0.2">
      <c r="A32" s="21"/>
      <c r="B32" s="14" t="s">
        <v>76</v>
      </c>
      <c r="C32" s="15" t="s">
        <v>77</v>
      </c>
      <c r="D32" s="21"/>
      <c r="E32" s="21"/>
      <c r="F32" s="21"/>
    </row>
    <row r="33" spans="1:6" x14ac:dyDescent="0.2">
      <c r="A33" s="21"/>
      <c r="B33" s="14" t="s">
        <v>78</v>
      </c>
      <c r="C33" s="15" t="s">
        <v>79</v>
      </c>
      <c r="D33" s="21"/>
      <c r="E33" s="21"/>
      <c r="F33" s="21"/>
    </row>
    <row r="34" spans="1:6" x14ac:dyDescent="0.2">
      <c r="A34" s="21"/>
      <c r="B34" s="14" t="s">
        <v>80</v>
      </c>
      <c r="C34" s="15" t="s">
        <v>81</v>
      </c>
      <c r="D34" s="21"/>
      <c r="E34" s="21"/>
      <c r="F34" s="21"/>
    </row>
    <row r="35" spans="1:6" ht="15" customHeight="1" x14ac:dyDescent="0.2">
      <c r="A35" s="3" t="s">
        <v>82</v>
      </c>
      <c r="B35" s="3"/>
      <c r="C35" s="3"/>
      <c r="D35" s="3"/>
      <c r="E35" s="3"/>
      <c r="F35" s="3"/>
    </row>
    <row r="36" spans="1:6" ht="28" x14ac:dyDescent="0.2">
      <c r="A36" s="13">
        <v>21</v>
      </c>
      <c r="B36" s="14" t="s">
        <v>83</v>
      </c>
      <c r="C36" s="19"/>
      <c r="D36" s="16" t="s">
        <v>33</v>
      </c>
      <c r="E36" s="17"/>
      <c r="F36" s="18"/>
    </row>
    <row r="37" spans="1:6" ht="28" x14ac:dyDescent="0.2">
      <c r="A37" s="13">
        <v>22</v>
      </c>
      <c r="B37" s="14" t="s">
        <v>84</v>
      </c>
      <c r="C37" s="19"/>
      <c r="D37" s="16" t="s">
        <v>33</v>
      </c>
      <c r="E37" s="17"/>
      <c r="F37" s="18"/>
    </row>
    <row r="38" spans="1:6" x14ac:dyDescent="0.2">
      <c r="A38" s="13">
        <v>23</v>
      </c>
      <c r="B38" s="14" t="s">
        <v>85</v>
      </c>
      <c r="C38" s="15" t="s">
        <v>86</v>
      </c>
      <c r="D38" s="36" t="s">
        <v>33</v>
      </c>
      <c r="E38" s="17"/>
      <c r="F38" s="18"/>
    </row>
    <row r="39" spans="1:6" x14ac:dyDescent="0.2">
      <c r="A39" s="13">
        <v>24</v>
      </c>
      <c r="B39" s="14" t="s">
        <v>87</v>
      </c>
      <c r="C39" s="19"/>
      <c r="D39" s="16" t="s">
        <v>33</v>
      </c>
      <c r="E39" s="17"/>
      <c r="F39" s="18"/>
    </row>
    <row r="40" spans="1:6" ht="30" x14ac:dyDescent="0.2">
      <c r="A40" s="13">
        <v>25</v>
      </c>
      <c r="B40" s="14" t="s">
        <v>88</v>
      </c>
      <c r="C40" s="15" t="s">
        <v>89</v>
      </c>
      <c r="D40" s="16" t="s">
        <v>33</v>
      </c>
      <c r="E40" s="17"/>
      <c r="F40" s="18"/>
    </row>
    <row r="41" spans="1:6" ht="30" x14ac:dyDescent="0.2">
      <c r="A41" s="13">
        <v>26</v>
      </c>
      <c r="B41" s="14" t="s">
        <v>90</v>
      </c>
      <c r="C41" s="15" t="s">
        <v>91</v>
      </c>
      <c r="D41" s="16" t="s">
        <v>33</v>
      </c>
      <c r="E41" s="17"/>
      <c r="F41" s="18"/>
    </row>
    <row r="42" spans="1:6" x14ac:dyDescent="0.2">
      <c r="A42" s="13">
        <v>27</v>
      </c>
      <c r="B42" s="14" t="s">
        <v>92</v>
      </c>
      <c r="C42" s="19"/>
      <c r="D42" s="36" t="s">
        <v>33</v>
      </c>
      <c r="E42" s="17"/>
      <c r="F42" s="18"/>
    </row>
    <row r="43" spans="1:6" ht="28" x14ac:dyDescent="0.2">
      <c r="A43" s="13">
        <v>28</v>
      </c>
      <c r="B43" s="14" t="s">
        <v>93</v>
      </c>
      <c r="C43" s="19"/>
      <c r="D43" s="16" t="s">
        <v>33</v>
      </c>
      <c r="E43" s="17"/>
      <c r="F43" s="18"/>
    </row>
    <row r="44" spans="1:6" ht="15" customHeight="1" x14ac:dyDescent="0.2">
      <c r="A44" s="3" t="s">
        <v>94</v>
      </c>
      <c r="B44" s="3"/>
      <c r="C44" s="3"/>
      <c r="D44" s="3"/>
      <c r="E44" s="3"/>
      <c r="F44" s="3"/>
    </row>
    <row r="45" spans="1:6" x14ac:dyDescent="0.2">
      <c r="A45" s="21"/>
      <c r="B45" s="22" t="s">
        <v>95</v>
      </c>
      <c r="C45" s="19"/>
      <c r="D45" s="21"/>
      <c r="E45" s="21"/>
      <c r="F45" s="21"/>
    </row>
    <row r="46" spans="1:6" ht="42" x14ac:dyDescent="0.2">
      <c r="A46" s="21"/>
      <c r="B46" s="22" t="s">
        <v>96</v>
      </c>
      <c r="C46" s="19"/>
      <c r="D46" s="21"/>
      <c r="E46" s="21"/>
      <c r="F46" s="21"/>
    </row>
    <row r="47" spans="1:6" ht="28" x14ac:dyDescent="0.2">
      <c r="A47" s="21"/>
      <c r="B47" s="22" t="s">
        <v>97</v>
      </c>
      <c r="C47" s="19"/>
      <c r="D47" s="21"/>
      <c r="E47" s="21"/>
      <c r="F47" s="21"/>
    </row>
    <row r="48" spans="1:6" ht="28" x14ac:dyDescent="0.2">
      <c r="A48" s="21"/>
      <c r="B48" s="22" t="s">
        <v>98</v>
      </c>
      <c r="C48" s="19"/>
      <c r="D48" s="21"/>
      <c r="E48" s="21"/>
      <c r="F48" s="21"/>
    </row>
    <row r="49" spans="1:6" ht="28" x14ac:dyDescent="0.2">
      <c r="A49" s="21"/>
      <c r="B49" s="22" t="s">
        <v>99</v>
      </c>
      <c r="C49" s="19"/>
      <c r="D49" s="21"/>
      <c r="E49" s="21"/>
      <c r="F49" s="21"/>
    </row>
  </sheetData>
  <mergeCells count="6">
    <mergeCell ref="A44:F44"/>
    <mergeCell ref="A6:F6"/>
    <mergeCell ref="A19:F19"/>
    <mergeCell ref="A22:F22"/>
    <mergeCell ref="A29:F29"/>
    <mergeCell ref="A35:F35"/>
  </mergeCells>
  <conditionalFormatting sqref="A6:F49">
    <cfRule type="expression" dxfId="0" priority="2">
      <formula>$D6="✓"</formula>
    </cfRule>
  </conditionalFormatting>
  <dataValidations count="1">
    <dataValidation type="list" allowBlank="1" error="Pick the tick from the list, or leave it blank." sqref="D7:D18 D20:D21 D23:D28 D36:D43" xr:uid="{00000000-0002-0000-0100-000000000000}">
      <formula1>"✓"</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8"/>
  <sheetViews>
    <sheetView zoomScale="125" zoomScaleNormal="125" workbookViewId="0">
      <selection activeCell="B17" sqref="B17"/>
    </sheetView>
  </sheetViews>
  <sheetFormatPr baseColWidth="10" defaultColWidth="8.6640625" defaultRowHeight="15" x14ac:dyDescent="0.2"/>
  <cols>
    <col min="1" max="1" width="12" customWidth="1"/>
    <col min="2" max="2" width="20" customWidth="1"/>
    <col min="3" max="3" width="110" customWidth="1"/>
  </cols>
  <sheetData>
    <row r="1" spans="1:3" ht="18" x14ac:dyDescent="0.2">
      <c r="A1" s="4" t="s">
        <v>100</v>
      </c>
    </row>
    <row r="2" spans="1:3" x14ac:dyDescent="0.2">
      <c r="A2" s="5" t="s">
        <v>101</v>
      </c>
    </row>
    <row r="4" spans="1:3" x14ac:dyDescent="0.2">
      <c r="A4" s="23" t="s">
        <v>102</v>
      </c>
      <c r="B4" s="23" t="s">
        <v>103</v>
      </c>
      <c r="C4" s="23" t="s">
        <v>104</v>
      </c>
    </row>
    <row r="5" spans="1:3" x14ac:dyDescent="0.2">
      <c r="A5" s="24" t="s">
        <v>105</v>
      </c>
      <c r="B5" s="14" t="s">
        <v>106</v>
      </c>
      <c r="C5" s="14" t="s">
        <v>107</v>
      </c>
    </row>
    <row r="6" spans="1:3" ht="270" x14ac:dyDescent="0.2">
      <c r="A6" s="24" t="s">
        <v>108</v>
      </c>
      <c r="B6" s="14" t="s">
        <v>109</v>
      </c>
      <c r="C6" s="15" t="s">
        <v>110</v>
      </c>
    </row>
    <row r="8" spans="1:3" x14ac:dyDescent="0.2">
      <c r="A8" s="6" t="s">
        <v>111</v>
      </c>
    </row>
  </sheetData>
  <phoneticPr fontId="11" type="noConversion"/>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01"/>
  <sheetViews>
    <sheetView zoomScale="150" zoomScaleNormal="100" workbookViewId="0">
      <pane ySplit="21" topLeftCell="A22" activePane="bottomLeft" state="frozen"/>
      <selection pane="bottomLeft" activeCell="D17" sqref="D17"/>
    </sheetView>
  </sheetViews>
  <sheetFormatPr baseColWidth="10" defaultColWidth="8.6640625" defaultRowHeight="15" x14ac:dyDescent="0.2"/>
  <cols>
    <col min="1" max="1" width="6" customWidth="1"/>
    <col min="2" max="2" width="12" customWidth="1"/>
    <col min="3" max="4" width="10" customWidth="1"/>
    <col min="5" max="5" width="12" customWidth="1"/>
    <col min="6" max="6" width="56" customWidth="1"/>
    <col min="7" max="7" width="10" customWidth="1"/>
    <col min="8" max="8" width="3" customWidth="1"/>
    <col min="9" max="9" width="34" customWidth="1"/>
    <col min="10" max="12" width="14" customWidth="1"/>
  </cols>
  <sheetData>
    <row r="1" spans="1:12" ht="18" x14ac:dyDescent="0.2">
      <c r="A1" s="4" t="s">
        <v>112</v>
      </c>
    </row>
    <row r="2" spans="1:12" x14ac:dyDescent="0.2">
      <c r="A2" s="5" t="s">
        <v>113</v>
      </c>
    </row>
    <row r="4" spans="1:12" x14ac:dyDescent="0.2">
      <c r="A4" s="6" t="s">
        <v>114</v>
      </c>
      <c r="I4" s="6" t="s">
        <v>115</v>
      </c>
    </row>
    <row r="5" spans="1:12" ht="15" customHeight="1" x14ac:dyDescent="0.2">
      <c r="A5" s="2" t="s">
        <v>116</v>
      </c>
      <c r="B5" s="2"/>
      <c r="C5" s="2"/>
      <c r="D5" s="2" t="s">
        <v>117</v>
      </c>
      <c r="E5" s="2"/>
      <c r="F5" s="2"/>
      <c r="I5" s="14" t="s">
        <v>118</v>
      </c>
      <c r="J5" s="25">
        <f>SUMIF($E$22:$E$101,"Setup",$G$22:$G$101)</f>
        <v>32</v>
      </c>
    </row>
    <row r="6" spans="1:12" ht="15" customHeight="1" x14ac:dyDescent="0.2">
      <c r="A6" s="2" t="s">
        <v>119</v>
      </c>
      <c r="B6" s="2"/>
      <c r="C6" s="2"/>
      <c r="D6" s="2" t="s">
        <v>120</v>
      </c>
      <c r="E6" s="2"/>
      <c r="F6" s="2"/>
      <c r="I6" s="14" t="s">
        <v>121</v>
      </c>
      <c r="J6" s="25">
        <f>SUMIF($E$22:$E$101,"Active",$G$22:$G$101)</f>
        <v>13</v>
      </c>
    </row>
    <row r="7" spans="1:12" ht="15" customHeight="1" x14ac:dyDescent="0.2">
      <c r="A7" s="2" t="s">
        <v>122</v>
      </c>
      <c r="B7" s="2"/>
      <c r="C7" s="2"/>
      <c r="D7" s="1" t="s">
        <v>123</v>
      </c>
      <c r="E7" s="1"/>
      <c r="F7" s="1"/>
      <c r="I7" s="14" t="s">
        <v>124</v>
      </c>
      <c r="J7" s="25">
        <f>SUMIF($E$22:$E$101,"Reviewing",$G$22:$G$101)</f>
        <v>23</v>
      </c>
    </row>
    <row r="8" spans="1:12" ht="15" customHeight="1" x14ac:dyDescent="0.2">
      <c r="A8" s="2" t="s">
        <v>125</v>
      </c>
      <c r="B8" s="2"/>
      <c r="C8" s="2"/>
      <c r="D8" s="1" t="s">
        <v>126</v>
      </c>
      <c r="E8" s="1"/>
      <c r="F8" s="1"/>
      <c r="I8" s="14" t="s">
        <v>127</v>
      </c>
      <c r="J8" s="25">
        <f>SUMIF($E$22:$E$101,"Waiting",$G$22:$G$101)</f>
        <v>21</v>
      </c>
    </row>
    <row r="9" spans="1:12" ht="15" customHeight="1" x14ac:dyDescent="0.2">
      <c r="A9" s="2" t="s">
        <v>128</v>
      </c>
      <c r="B9" s="2"/>
      <c r="C9" s="2"/>
      <c r="D9" s="1"/>
      <c r="E9" s="1"/>
      <c r="F9" s="1"/>
      <c r="I9" s="14" t="s">
        <v>129</v>
      </c>
      <c r="J9" s="25">
        <f>SUMIF($E$22:$E$101,"Break",$G$22:$G$101)</f>
        <v>0</v>
      </c>
    </row>
    <row r="10" spans="1:12" ht="23.75" customHeight="1" x14ac:dyDescent="0.2">
      <c r="A10" s="2" t="s">
        <v>130</v>
      </c>
      <c r="B10" s="2"/>
      <c r="C10" s="2"/>
      <c r="D10" s="41" t="s">
        <v>196</v>
      </c>
      <c r="E10" s="1"/>
      <c r="F10" s="1"/>
      <c r="I10" s="14" t="s">
        <v>131</v>
      </c>
      <c r="J10" s="27">
        <f>J6+J7+J8</f>
        <v>57</v>
      </c>
    </row>
    <row r="11" spans="1:12" ht="23.75" customHeight="1" x14ac:dyDescent="0.2">
      <c r="A11" s="2" t="s">
        <v>132</v>
      </c>
      <c r="B11" s="2"/>
      <c r="C11" s="2"/>
      <c r="D11" s="1" t="s">
        <v>133</v>
      </c>
      <c r="E11" s="1"/>
      <c r="F11" s="1"/>
      <c r="I11" s="14" t="s">
        <v>134</v>
      </c>
      <c r="J11" s="27">
        <f>J6+J7</f>
        <v>36</v>
      </c>
    </row>
    <row r="12" spans="1:12" ht="15" customHeight="1" x14ac:dyDescent="0.2">
      <c r="A12" s="2" t="s">
        <v>135</v>
      </c>
      <c r="B12" s="2"/>
      <c r="C12" s="2"/>
      <c r="D12" s="41" t="s">
        <v>197</v>
      </c>
      <c r="E12" s="1"/>
      <c r="F12" s="1"/>
      <c r="I12" s="14" t="s">
        <v>136</v>
      </c>
      <c r="J12" s="25" t="str">
        <f>IF(J10=0,"",IF(J10&lt;=360,"Yes","No"))</f>
        <v>Yes</v>
      </c>
    </row>
    <row r="13" spans="1:12" ht="15" customHeight="1" x14ac:dyDescent="0.2">
      <c r="A13" s="2" t="s">
        <v>137</v>
      </c>
      <c r="B13" s="2"/>
      <c r="C13" s="2"/>
      <c r="D13" s="41" t="s">
        <v>198</v>
      </c>
      <c r="E13" s="1"/>
      <c r="F13" s="1"/>
      <c r="I13" s="5" t="s">
        <v>138</v>
      </c>
    </row>
    <row r="14" spans="1:12" ht="23.75" customHeight="1" x14ac:dyDescent="0.2">
      <c r="A14" s="2" t="s">
        <v>139</v>
      </c>
      <c r="B14" s="2"/>
      <c r="C14" s="2"/>
      <c r="D14" s="41" t="s">
        <v>199</v>
      </c>
      <c r="E14" s="1"/>
      <c r="F14" s="1"/>
    </row>
    <row r="15" spans="1:12" ht="15" customHeight="1" x14ac:dyDescent="0.2">
      <c r="A15" s="2" t="s">
        <v>140</v>
      </c>
      <c r="B15" s="2"/>
      <c r="C15" s="2"/>
      <c r="D15" s="42" t="s">
        <v>200</v>
      </c>
      <c r="E15" s="1"/>
      <c r="F15" s="1"/>
      <c r="I15" s="6" t="s">
        <v>141</v>
      </c>
    </row>
    <row r="16" spans="1:12" ht="15" customHeight="1" x14ac:dyDescent="0.2">
      <c r="A16" s="2" t="s">
        <v>142</v>
      </c>
      <c r="B16" s="2"/>
      <c r="C16" s="2"/>
      <c r="D16" s="42" t="s">
        <v>201</v>
      </c>
      <c r="E16" s="1"/>
      <c r="F16" s="1"/>
      <c r="I16" s="23" t="s">
        <v>143</v>
      </c>
      <c r="J16" s="23" t="s">
        <v>144</v>
      </c>
      <c r="K16" s="23" t="s">
        <v>145</v>
      </c>
      <c r="L16" s="23" t="s">
        <v>146</v>
      </c>
    </row>
    <row r="17" spans="1:12" x14ac:dyDescent="0.2">
      <c r="I17" s="28" t="s">
        <v>147</v>
      </c>
      <c r="J17" s="29"/>
      <c r="K17" s="29"/>
      <c r="L17" s="29"/>
    </row>
    <row r="18" spans="1:12" x14ac:dyDescent="0.2">
      <c r="I18" s="28" t="s">
        <v>148</v>
      </c>
      <c r="J18" s="29"/>
      <c r="K18" s="29"/>
      <c r="L18" s="29"/>
    </row>
    <row r="19" spans="1:12" x14ac:dyDescent="0.2">
      <c r="I19" s="28" t="s">
        <v>149</v>
      </c>
      <c r="J19" s="30" t="str">
        <f>IF(OR(J17="",J18=""),"",J18-J17)</f>
        <v/>
      </c>
      <c r="K19" s="30" t="str">
        <f>IF(OR(K17="",K18=""),"",K18-K17)</f>
        <v/>
      </c>
      <c r="L19" s="30" t="str">
        <f>IF(OR(L17="",L18=""),"",L18-L17)</f>
        <v/>
      </c>
    </row>
    <row r="20" spans="1:12" x14ac:dyDescent="0.2">
      <c r="A20" s="5" t="s">
        <v>150</v>
      </c>
    </row>
    <row r="21" spans="1:12" x14ac:dyDescent="0.2">
      <c r="A21" s="8" t="s">
        <v>25</v>
      </c>
      <c r="B21" s="8" t="s">
        <v>151</v>
      </c>
      <c r="C21" s="8" t="s">
        <v>152</v>
      </c>
      <c r="D21" s="8" t="s">
        <v>153</v>
      </c>
      <c r="E21" s="8" t="s">
        <v>154</v>
      </c>
      <c r="F21" s="8" t="s">
        <v>155</v>
      </c>
      <c r="G21" s="8" t="s">
        <v>156</v>
      </c>
    </row>
    <row r="22" spans="1:12" x14ac:dyDescent="0.2">
      <c r="A22" s="13">
        <v>1</v>
      </c>
      <c r="B22" s="31">
        <v>46313</v>
      </c>
      <c r="C22" s="32">
        <v>0.53194444444444444</v>
      </c>
      <c r="D22" s="32">
        <v>0.54861111111111116</v>
      </c>
      <c r="E22" s="33" t="s">
        <v>157</v>
      </c>
      <c r="F22" s="26" t="s">
        <v>158</v>
      </c>
      <c r="G22" s="34">
        <f t="shared" ref="G22:G53" si="0">IFERROR(IF(OR(C22="",D22=""),"",ROUND(MOD(D22-C22,1)*1440,0)),"check")</f>
        <v>24</v>
      </c>
    </row>
    <row r="23" spans="1:12" x14ac:dyDescent="0.2">
      <c r="A23" s="13">
        <v>2</v>
      </c>
      <c r="B23" s="31">
        <v>46313</v>
      </c>
      <c r="C23" s="32">
        <v>0.54861111111111116</v>
      </c>
      <c r="D23" s="32">
        <v>0.5541666666666667</v>
      </c>
      <c r="E23" s="33" t="s">
        <v>157</v>
      </c>
      <c r="F23" s="26" t="s">
        <v>159</v>
      </c>
      <c r="G23" s="34">
        <f t="shared" si="0"/>
        <v>8</v>
      </c>
    </row>
    <row r="24" spans="1:12" x14ac:dyDescent="0.2">
      <c r="A24" s="13">
        <v>3</v>
      </c>
      <c r="B24" s="31">
        <v>46313</v>
      </c>
      <c r="C24" s="32">
        <v>0.5756944444444444</v>
      </c>
      <c r="D24" s="32">
        <v>0.57638888888888884</v>
      </c>
      <c r="E24" s="33" t="s">
        <v>121</v>
      </c>
      <c r="F24" s="38" t="s">
        <v>182</v>
      </c>
      <c r="G24" s="34">
        <f t="shared" si="0"/>
        <v>1</v>
      </c>
    </row>
    <row r="25" spans="1:12" x14ac:dyDescent="0.2">
      <c r="A25" s="13">
        <v>4</v>
      </c>
      <c r="B25" s="31">
        <v>46313</v>
      </c>
      <c r="C25" s="32">
        <v>0.57638888888888884</v>
      </c>
      <c r="D25" s="32">
        <v>0.57777777777777772</v>
      </c>
      <c r="E25" s="33" t="s">
        <v>127</v>
      </c>
      <c r="F25" s="38" t="s">
        <v>183</v>
      </c>
      <c r="G25" s="34">
        <f t="shared" si="0"/>
        <v>2</v>
      </c>
    </row>
    <row r="26" spans="1:12" x14ac:dyDescent="0.2">
      <c r="A26" s="13">
        <v>5</v>
      </c>
      <c r="B26" s="31">
        <v>46313</v>
      </c>
      <c r="C26" s="32">
        <v>0.57777777777777772</v>
      </c>
      <c r="D26" s="32">
        <v>0.5805555555555556</v>
      </c>
      <c r="E26" s="33" t="s">
        <v>124</v>
      </c>
      <c r="F26" s="38" t="s">
        <v>184</v>
      </c>
      <c r="G26" s="34">
        <f t="shared" si="0"/>
        <v>4</v>
      </c>
    </row>
    <row r="27" spans="1:12" x14ac:dyDescent="0.2">
      <c r="A27" s="13">
        <v>6</v>
      </c>
      <c r="B27" s="31">
        <v>46313</v>
      </c>
      <c r="C27" s="32">
        <v>0.5805555555555556</v>
      </c>
      <c r="D27" s="32">
        <v>0.5805555555555556</v>
      </c>
      <c r="E27" s="33" t="s">
        <v>121</v>
      </c>
      <c r="F27" s="38" t="s">
        <v>185</v>
      </c>
      <c r="G27" s="34">
        <f t="shared" si="0"/>
        <v>0</v>
      </c>
    </row>
    <row r="28" spans="1:12" x14ac:dyDescent="0.2">
      <c r="A28" s="13">
        <v>7</v>
      </c>
      <c r="B28" s="31">
        <v>46313</v>
      </c>
      <c r="C28" s="32">
        <v>0.5805555555555556</v>
      </c>
      <c r="D28" s="32">
        <v>0.58194444444444449</v>
      </c>
      <c r="E28" s="33" t="s">
        <v>127</v>
      </c>
      <c r="F28" s="38" t="s">
        <v>183</v>
      </c>
      <c r="G28" s="34">
        <f t="shared" si="0"/>
        <v>2</v>
      </c>
    </row>
    <row r="29" spans="1:12" x14ac:dyDescent="0.2">
      <c r="A29" s="13">
        <v>8</v>
      </c>
      <c r="B29" s="31">
        <v>46313</v>
      </c>
      <c r="C29" s="32">
        <v>0.58194444444444449</v>
      </c>
      <c r="D29" s="32">
        <v>0.58611111111111114</v>
      </c>
      <c r="E29" s="33" t="s">
        <v>124</v>
      </c>
      <c r="F29" s="38" t="s">
        <v>186</v>
      </c>
      <c r="G29" s="34">
        <f t="shared" si="0"/>
        <v>6</v>
      </c>
    </row>
    <row r="30" spans="1:12" x14ac:dyDescent="0.2">
      <c r="A30" s="13">
        <v>9</v>
      </c>
      <c r="B30" s="31">
        <v>46313</v>
      </c>
      <c r="C30" s="32">
        <v>0.58611111111111114</v>
      </c>
      <c r="D30" s="32">
        <v>0.58611111111111114</v>
      </c>
      <c r="E30" s="33" t="s">
        <v>121</v>
      </c>
      <c r="F30" s="38" t="s">
        <v>187</v>
      </c>
      <c r="G30" s="34">
        <f t="shared" si="0"/>
        <v>0</v>
      </c>
    </row>
    <row r="31" spans="1:12" x14ac:dyDescent="0.2">
      <c r="A31" s="13">
        <v>10</v>
      </c>
      <c r="B31" s="31">
        <v>46313</v>
      </c>
      <c r="C31" s="32">
        <v>0.58611111111111114</v>
      </c>
      <c r="D31" s="32">
        <v>0.59097222222222223</v>
      </c>
      <c r="E31" s="33" t="s">
        <v>127</v>
      </c>
      <c r="F31" s="38" t="s">
        <v>183</v>
      </c>
      <c r="G31" s="34">
        <f t="shared" si="0"/>
        <v>7</v>
      </c>
    </row>
    <row r="32" spans="1:12" x14ac:dyDescent="0.2">
      <c r="A32" s="13">
        <v>11</v>
      </c>
      <c r="B32" s="31">
        <v>46313</v>
      </c>
      <c r="C32" s="32">
        <v>0.59097222222222223</v>
      </c>
      <c r="D32" s="32">
        <v>0.59652777777777777</v>
      </c>
      <c r="E32" s="33" t="s">
        <v>124</v>
      </c>
      <c r="F32" s="38" t="s">
        <v>188</v>
      </c>
      <c r="G32" s="34">
        <f t="shared" si="0"/>
        <v>8</v>
      </c>
    </row>
    <row r="33" spans="1:7" x14ac:dyDescent="0.2">
      <c r="A33" s="13">
        <v>12</v>
      </c>
      <c r="B33" s="31">
        <v>46313</v>
      </c>
      <c r="C33" s="32">
        <v>0.59652777777777777</v>
      </c>
      <c r="D33" s="32">
        <v>0.59652777777777777</v>
      </c>
      <c r="E33" s="33" t="s">
        <v>124</v>
      </c>
      <c r="F33" s="38" t="s">
        <v>189</v>
      </c>
      <c r="G33" s="34">
        <f t="shared" si="0"/>
        <v>0</v>
      </c>
    </row>
    <row r="34" spans="1:7" x14ac:dyDescent="0.2">
      <c r="A34" s="13">
        <v>13</v>
      </c>
      <c r="B34" s="31">
        <v>46313</v>
      </c>
      <c r="C34" s="32">
        <v>0.59652777777777777</v>
      </c>
      <c r="D34" s="32">
        <v>0.6</v>
      </c>
      <c r="E34" s="33" t="s">
        <v>127</v>
      </c>
      <c r="F34" s="38" t="s">
        <v>183</v>
      </c>
      <c r="G34" s="34">
        <f t="shared" si="0"/>
        <v>5</v>
      </c>
    </row>
    <row r="35" spans="1:7" x14ac:dyDescent="0.2">
      <c r="A35" s="13">
        <v>14</v>
      </c>
      <c r="B35" s="31">
        <v>46313</v>
      </c>
      <c r="C35" s="32">
        <v>0.6</v>
      </c>
      <c r="D35" s="32">
        <v>0.60138888888888886</v>
      </c>
      <c r="E35" s="33" t="s">
        <v>124</v>
      </c>
      <c r="F35" s="38" t="s">
        <v>190</v>
      </c>
      <c r="G35" s="34">
        <f t="shared" si="0"/>
        <v>2</v>
      </c>
    </row>
    <row r="36" spans="1:7" x14ac:dyDescent="0.2">
      <c r="A36" s="13">
        <v>15</v>
      </c>
      <c r="B36" s="39">
        <v>46313</v>
      </c>
      <c r="C36" s="32">
        <v>0.60138888888888886</v>
      </c>
      <c r="D36" s="32">
        <v>0.60138888888888886</v>
      </c>
      <c r="E36" s="33" t="s">
        <v>121</v>
      </c>
      <c r="F36" s="38" t="s">
        <v>191</v>
      </c>
      <c r="G36" s="34">
        <f t="shared" si="0"/>
        <v>0</v>
      </c>
    </row>
    <row r="37" spans="1:7" x14ac:dyDescent="0.2">
      <c r="A37" s="13">
        <v>16</v>
      </c>
      <c r="B37" s="39">
        <v>46313</v>
      </c>
      <c r="C37" s="32">
        <v>0.60138888888888886</v>
      </c>
      <c r="D37" s="32">
        <v>0.60277777777777775</v>
      </c>
      <c r="E37" s="33" t="s">
        <v>127</v>
      </c>
      <c r="F37" s="38" t="s">
        <v>183</v>
      </c>
      <c r="G37" s="34">
        <f t="shared" si="0"/>
        <v>2</v>
      </c>
    </row>
    <row r="38" spans="1:7" x14ac:dyDescent="0.2">
      <c r="A38" s="13">
        <v>17</v>
      </c>
      <c r="B38" s="39">
        <v>46313</v>
      </c>
      <c r="C38" s="32">
        <v>0.60277777777777775</v>
      </c>
      <c r="D38" s="32">
        <v>0.60347222222222219</v>
      </c>
      <c r="E38" s="33" t="s">
        <v>124</v>
      </c>
      <c r="F38" s="38" t="s">
        <v>192</v>
      </c>
      <c r="G38" s="34">
        <f t="shared" si="0"/>
        <v>1</v>
      </c>
    </row>
    <row r="39" spans="1:7" x14ac:dyDescent="0.2">
      <c r="A39" s="13">
        <v>18</v>
      </c>
      <c r="B39" s="39">
        <v>46313</v>
      </c>
      <c r="C39" s="32">
        <v>0.60347222222222219</v>
      </c>
      <c r="D39" s="32">
        <v>0.60555555555555551</v>
      </c>
      <c r="E39" s="33" t="s">
        <v>127</v>
      </c>
      <c r="F39" s="38" t="s">
        <v>183</v>
      </c>
      <c r="G39" s="34">
        <f t="shared" si="0"/>
        <v>3</v>
      </c>
    </row>
    <row r="40" spans="1:7" x14ac:dyDescent="0.2">
      <c r="A40" s="13">
        <v>19</v>
      </c>
      <c r="B40" s="39">
        <v>46313</v>
      </c>
      <c r="C40" s="32">
        <v>0.60555555555555551</v>
      </c>
      <c r="D40" s="32">
        <v>0.6069444444444444</v>
      </c>
      <c r="E40" s="40" t="s">
        <v>124</v>
      </c>
      <c r="F40" s="38" t="s">
        <v>193</v>
      </c>
      <c r="G40" s="34">
        <f t="shared" si="0"/>
        <v>2</v>
      </c>
    </row>
    <row r="41" spans="1:7" ht="28" x14ac:dyDescent="0.2">
      <c r="A41" s="13">
        <v>20</v>
      </c>
      <c r="B41" s="39">
        <v>46313</v>
      </c>
      <c r="C41" s="32">
        <v>0.62777777777777777</v>
      </c>
      <c r="D41" s="32">
        <v>0.63055555555555554</v>
      </c>
      <c r="E41" s="33" t="s">
        <v>121</v>
      </c>
      <c r="F41" s="38" t="s">
        <v>194</v>
      </c>
      <c r="G41" s="34">
        <f t="shared" si="0"/>
        <v>4</v>
      </c>
    </row>
    <row r="42" spans="1:7" ht="28" x14ac:dyDescent="0.2">
      <c r="A42" s="13">
        <v>21</v>
      </c>
      <c r="B42" s="39">
        <v>46313</v>
      </c>
      <c r="C42" s="32">
        <v>0.63055555555555554</v>
      </c>
      <c r="D42" s="32">
        <v>0.63611111111111107</v>
      </c>
      <c r="E42" s="33" t="s">
        <v>121</v>
      </c>
      <c r="F42" s="38" t="s">
        <v>195</v>
      </c>
      <c r="G42" s="34">
        <f t="shared" si="0"/>
        <v>8</v>
      </c>
    </row>
    <row r="43" spans="1:7" x14ac:dyDescent="0.2">
      <c r="A43" s="13">
        <v>22</v>
      </c>
      <c r="B43" s="39"/>
      <c r="C43" s="32"/>
      <c r="D43" s="32"/>
      <c r="E43" s="33"/>
      <c r="F43" s="26"/>
      <c r="G43" s="34" t="str">
        <f t="shared" si="0"/>
        <v/>
      </c>
    </row>
    <row r="44" spans="1:7" x14ac:dyDescent="0.2">
      <c r="A44" s="13">
        <v>23</v>
      </c>
      <c r="B44" s="31"/>
      <c r="C44" s="32"/>
      <c r="D44" s="32"/>
      <c r="E44" s="33"/>
      <c r="F44" s="26"/>
      <c r="G44" s="34" t="str">
        <f t="shared" si="0"/>
        <v/>
      </c>
    </row>
    <row r="45" spans="1:7" x14ac:dyDescent="0.2">
      <c r="A45" s="13">
        <v>24</v>
      </c>
      <c r="B45" s="31"/>
      <c r="C45" s="32"/>
      <c r="D45" s="32"/>
      <c r="E45" s="33"/>
      <c r="F45" s="26"/>
      <c r="G45" s="34" t="str">
        <f t="shared" si="0"/>
        <v/>
      </c>
    </row>
    <row r="46" spans="1:7" x14ac:dyDescent="0.2">
      <c r="A46" s="13">
        <v>25</v>
      </c>
      <c r="B46" s="31"/>
      <c r="C46" s="32"/>
      <c r="D46" s="32"/>
      <c r="E46" s="33"/>
      <c r="F46" s="26"/>
      <c r="G46" s="34" t="str">
        <f t="shared" si="0"/>
        <v/>
      </c>
    </row>
    <row r="47" spans="1:7" x14ac:dyDescent="0.2">
      <c r="A47" s="13">
        <v>26</v>
      </c>
      <c r="B47" s="31"/>
      <c r="C47" s="32"/>
      <c r="D47" s="32"/>
      <c r="E47" s="33"/>
      <c r="F47" s="26"/>
      <c r="G47" s="34" t="str">
        <f t="shared" si="0"/>
        <v/>
      </c>
    </row>
    <row r="48" spans="1:7" x14ac:dyDescent="0.2">
      <c r="A48" s="13">
        <v>27</v>
      </c>
      <c r="B48" s="31"/>
      <c r="C48" s="32"/>
      <c r="D48" s="32"/>
      <c r="E48" s="33"/>
      <c r="F48" s="26"/>
      <c r="G48" s="34" t="str">
        <f t="shared" si="0"/>
        <v/>
      </c>
    </row>
    <row r="49" spans="1:7" x14ac:dyDescent="0.2">
      <c r="A49" s="13">
        <v>28</v>
      </c>
      <c r="B49" s="31"/>
      <c r="C49" s="32"/>
      <c r="D49" s="32"/>
      <c r="E49" s="33"/>
      <c r="F49" s="26"/>
      <c r="G49" s="34" t="str">
        <f t="shared" si="0"/>
        <v/>
      </c>
    </row>
    <row r="50" spans="1:7" x14ac:dyDescent="0.2">
      <c r="A50" s="13">
        <v>29</v>
      </c>
      <c r="B50" s="31"/>
      <c r="C50" s="32"/>
      <c r="D50" s="32"/>
      <c r="E50" s="33"/>
      <c r="F50" s="26"/>
      <c r="G50" s="34" t="str">
        <f t="shared" si="0"/>
        <v/>
      </c>
    </row>
    <row r="51" spans="1:7" x14ac:dyDescent="0.2">
      <c r="A51" s="13">
        <v>30</v>
      </c>
      <c r="B51" s="31"/>
      <c r="C51" s="32"/>
      <c r="D51" s="32"/>
      <c r="E51" s="33"/>
      <c r="F51" s="26"/>
      <c r="G51" s="34" t="str">
        <f t="shared" si="0"/>
        <v/>
      </c>
    </row>
    <row r="52" spans="1:7" x14ac:dyDescent="0.2">
      <c r="A52" s="13">
        <v>31</v>
      </c>
      <c r="B52" s="31"/>
      <c r="C52" s="32"/>
      <c r="D52" s="32"/>
      <c r="E52" s="33"/>
      <c r="F52" s="26"/>
      <c r="G52" s="34" t="str">
        <f t="shared" si="0"/>
        <v/>
      </c>
    </row>
    <row r="53" spans="1:7" x14ac:dyDescent="0.2">
      <c r="A53" s="13">
        <v>32</v>
      </c>
      <c r="B53" s="31"/>
      <c r="C53" s="32"/>
      <c r="D53" s="32"/>
      <c r="E53" s="33"/>
      <c r="F53" s="26"/>
      <c r="G53" s="34" t="str">
        <f t="shared" si="0"/>
        <v/>
      </c>
    </row>
    <row r="54" spans="1:7" x14ac:dyDescent="0.2">
      <c r="A54" s="13">
        <v>33</v>
      </c>
      <c r="B54" s="31"/>
      <c r="C54" s="32"/>
      <c r="D54" s="32"/>
      <c r="E54" s="33"/>
      <c r="F54" s="26"/>
      <c r="G54" s="34" t="str">
        <f t="shared" ref="G54:G85" si="1">IFERROR(IF(OR(C54="",D54=""),"",ROUND(MOD(D54-C54,1)*1440,0)),"check")</f>
        <v/>
      </c>
    </row>
    <row r="55" spans="1:7" x14ac:dyDescent="0.2">
      <c r="A55" s="13">
        <v>34</v>
      </c>
      <c r="B55" s="31"/>
      <c r="C55" s="32"/>
      <c r="D55" s="32"/>
      <c r="E55" s="33"/>
      <c r="F55" s="26"/>
      <c r="G55" s="34" t="str">
        <f t="shared" si="1"/>
        <v/>
      </c>
    </row>
    <row r="56" spans="1:7" x14ac:dyDescent="0.2">
      <c r="A56" s="13">
        <v>35</v>
      </c>
      <c r="B56" s="31"/>
      <c r="C56" s="32"/>
      <c r="D56" s="32"/>
      <c r="E56" s="33"/>
      <c r="F56" s="26"/>
      <c r="G56" s="34" t="str">
        <f t="shared" si="1"/>
        <v/>
      </c>
    </row>
    <row r="57" spans="1:7" x14ac:dyDescent="0.2">
      <c r="A57" s="13">
        <v>36</v>
      </c>
      <c r="B57" s="31"/>
      <c r="C57" s="32"/>
      <c r="D57" s="32"/>
      <c r="E57" s="33"/>
      <c r="F57" s="26"/>
      <c r="G57" s="34" t="str">
        <f t="shared" si="1"/>
        <v/>
      </c>
    </row>
    <row r="58" spans="1:7" x14ac:dyDescent="0.2">
      <c r="A58" s="13">
        <v>37</v>
      </c>
      <c r="B58" s="31"/>
      <c r="C58" s="32"/>
      <c r="D58" s="32"/>
      <c r="E58" s="33"/>
      <c r="F58" s="26"/>
      <c r="G58" s="34" t="str">
        <f t="shared" si="1"/>
        <v/>
      </c>
    </row>
    <row r="59" spans="1:7" x14ac:dyDescent="0.2">
      <c r="A59" s="13">
        <v>38</v>
      </c>
      <c r="B59" s="31"/>
      <c r="C59" s="32"/>
      <c r="D59" s="32"/>
      <c r="E59" s="33"/>
      <c r="F59" s="26"/>
      <c r="G59" s="34" t="str">
        <f t="shared" si="1"/>
        <v/>
      </c>
    </row>
    <row r="60" spans="1:7" x14ac:dyDescent="0.2">
      <c r="A60" s="13">
        <v>39</v>
      </c>
      <c r="B60" s="31"/>
      <c r="C60" s="32"/>
      <c r="D60" s="32"/>
      <c r="E60" s="33"/>
      <c r="F60" s="26"/>
      <c r="G60" s="34" t="str">
        <f t="shared" si="1"/>
        <v/>
      </c>
    </row>
    <row r="61" spans="1:7" x14ac:dyDescent="0.2">
      <c r="A61" s="13">
        <v>40</v>
      </c>
      <c r="B61" s="31"/>
      <c r="C61" s="32"/>
      <c r="D61" s="32"/>
      <c r="E61" s="33"/>
      <c r="F61" s="26"/>
      <c r="G61" s="34" t="str">
        <f t="shared" si="1"/>
        <v/>
      </c>
    </row>
    <row r="62" spans="1:7" x14ac:dyDescent="0.2">
      <c r="A62" s="13">
        <v>41</v>
      </c>
      <c r="B62" s="31"/>
      <c r="C62" s="32"/>
      <c r="D62" s="32"/>
      <c r="E62" s="33"/>
      <c r="F62" s="26"/>
      <c r="G62" s="34" t="str">
        <f t="shared" si="1"/>
        <v/>
      </c>
    </row>
    <row r="63" spans="1:7" x14ac:dyDescent="0.2">
      <c r="A63" s="13">
        <v>42</v>
      </c>
      <c r="B63" s="31"/>
      <c r="C63" s="32"/>
      <c r="D63" s="32"/>
      <c r="E63" s="33"/>
      <c r="F63" s="26"/>
      <c r="G63" s="34" t="str">
        <f t="shared" si="1"/>
        <v/>
      </c>
    </row>
    <row r="64" spans="1:7" x14ac:dyDescent="0.2">
      <c r="A64" s="13">
        <v>43</v>
      </c>
      <c r="B64" s="31"/>
      <c r="C64" s="32"/>
      <c r="D64" s="32"/>
      <c r="E64" s="33"/>
      <c r="F64" s="26"/>
      <c r="G64" s="34" t="str">
        <f t="shared" si="1"/>
        <v/>
      </c>
    </row>
    <row r="65" spans="1:7" x14ac:dyDescent="0.2">
      <c r="A65" s="13">
        <v>44</v>
      </c>
      <c r="B65" s="31"/>
      <c r="C65" s="32"/>
      <c r="D65" s="32"/>
      <c r="E65" s="33"/>
      <c r="F65" s="26"/>
      <c r="G65" s="34" t="str">
        <f t="shared" si="1"/>
        <v/>
      </c>
    </row>
    <row r="66" spans="1:7" x14ac:dyDescent="0.2">
      <c r="A66" s="13">
        <v>45</v>
      </c>
      <c r="B66" s="31"/>
      <c r="C66" s="32"/>
      <c r="D66" s="32"/>
      <c r="E66" s="33"/>
      <c r="F66" s="26"/>
      <c r="G66" s="34" t="str">
        <f t="shared" si="1"/>
        <v/>
      </c>
    </row>
    <row r="67" spans="1:7" x14ac:dyDescent="0.2">
      <c r="A67" s="13">
        <v>46</v>
      </c>
      <c r="B67" s="31"/>
      <c r="C67" s="32"/>
      <c r="D67" s="32"/>
      <c r="E67" s="33"/>
      <c r="F67" s="26"/>
      <c r="G67" s="34" t="str">
        <f t="shared" si="1"/>
        <v/>
      </c>
    </row>
    <row r="68" spans="1:7" x14ac:dyDescent="0.2">
      <c r="A68" s="13">
        <v>47</v>
      </c>
      <c r="B68" s="31"/>
      <c r="C68" s="32"/>
      <c r="D68" s="32"/>
      <c r="E68" s="33"/>
      <c r="F68" s="26"/>
      <c r="G68" s="34" t="str">
        <f t="shared" si="1"/>
        <v/>
      </c>
    </row>
    <row r="69" spans="1:7" x14ac:dyDescent="0.2">
      <c r="A69" s="13">
        <v>48</v>
      </c>
      <c r="B69" s="31"/>
      <c r="C69" s="32"/>
      <c r="D69" s="32"/>
      <c r="E69" s="33"/>
      <c r="F69" s="26"/>
      <c r="G69" s="34" t="str">
        <f t="shared" si="1"/>
        <v/>
      </c>
    </row>
    <row r="70" spans="1:7" x14ac:dyDescent="0.2">
      <c r="A70" s="13">
        <v>49</v>
      </c>
      <c r="B70" s="31"/>
      <c r="C70" s="32"/>
      <c r="D70" s="32"/>
      <c r="E70" s="33"/>
      <c r="F70" s="26"/>
      <c r="G70" s="34" t="str">
        <f t="shared" si="1"/>
        <v/>
      </c>
    </row>
    <row r="71" spans="1:7" x14ac:dyDescent="0.2">
      <c r="A71" s="13">
        <v>50</v>
      </c>
      <c r="B71" s="31"/>
      <c r="C71" s="32"/>
      <c r="D71" s="32"/>
      <c r="E71" s="33"/>
      <c r="F71" s="26"/>
      <c r="G71" s="34" t="str">
        <f t="shared" si="1"/>
        <v/>
      </c>
    </row>
    <row r="72" spans="1:7" x14ac:dyDescent="0.2">
      <c r="A72" s="13">
        <v>51</v>
      </c>
      <c r="B72" s="31"/>
      <c r="C72" s="32"/>
      <c r="D72" s="32"/>
      <c r="E72" s="33"/>
      <c r="F72" s="26"/>
      <c r="G72" s="34" t="str">
        <f t="shared" si="1"/>
        <v/>
      </c>
    </row>
    <row r="73" spans="1:7" x14ac:dyDescent="0.2">
      <c r="A73" s="13">
        <v>52</v>
      </c>
      <c r="B73" s="31"/>
      <c r="C73" s="32"/>
      <c r="D73" s="32"/>
      <c r="E73" s="33"/>
      <c r="F73" s="26"/>
      <c r="G73" s="34" t="str">
        <f t="shared" si="1"/>
        <v/>
      </c>
    </row>
    <row r="74" spans="1:7" x14ac:dyDescent="0.2">
      <c r="A74" s="13">
        <v>53</v>
      </c>
      <c r="B74" s="31"/>
      <c r="C74" s="32"/>
      <c r="D74" s="32"/>
      <c r="E74" s="33"/>
      <c r="F74" s="26"/>
      <c r="G74" s="34" t="str">
        <f t="shared" si="1"/>
        <v/>
      </c>
    </row>
    <row r="75" spans="1:7" x14ac:dyDescent="0.2">
      <c r="A75" s="13">
        <v>54</v>
      </c>
      <c r="B75" s="31"/>
      <c r="C75" s="32"/>
      <c r="D75" s="32"/>
      <c r="E75" s="33"/>
      <c r="F75" s="26"/>
      <c r="G75" s="34" t="str">
        <f t="shared" si="1"/>
        <v/>
      </c>
    </row>
    <row r="76" spans="1:7" x14ac:dyDescent="0.2">
      <c r="A76" s="13">
        <v>55</v>
      </c>
      <c r="B76" s="31"/>
      <c r="C76" s="32"/>
      <c r="D76" s="32"/>
      <c r="E76" s="33"/>
      <c r="F76" s="26"/>
      <c r="G76" s="34" t="str">
        <f t="shared" si="1"/>
        <v/>
      </c>
    </row>
    <row r="77" spans="1:7" x14ac:dyDescent="0.2">
      <c r="A77" s="13">
        <v>56</v>
      </c>
      <c r="B77" s="31"/>
      <c r="C77" s="32"/>
      <c r="D77" s="32"/>
      <c r="E77" s="33"/>
      <c r="F77" s="26"/>
      <c r="G77" s="34" t="str">
        <f t="shared" si="1"/>
        <v/>
      </c>
    </row>
    <row r="78" spans="1:7" x14ac:dyDescent="0.2">
      <c r="A78" s="13">
        <v>57</v>
      </c>
      <c r="B78" s="31"/>
      <c r="C78" s="32"/>
      <c r="D78" s="32"/>
      <c r="E78" s="33"/>
      <c r="F78" s="26"/>
      <c r="G78" s="34" t="str">
        <f t="shared" si="1"/>
        <v/>
      </c>
    </row>
    <row r="79" spans="1:7" x14ac:dyDescent="0.2">
      <c r="A79" s="13">
        <v>58</v>
      </c>
      <c r="B79" s="31"/>
      <c r="C79" s="32"/>
      <c r="D79" s="32"/>
      <c r="E79" s="33"/>
      <c r="F79" s="26"/>
      <c r="G79" s="34" t="str">
        <f t="shared" si="1"/>
        <v/>
      </c>
    </row>
    <row r="80" spans="1:7" x14ac:dyDescent="0.2">
      <c r="A80" s="13">
        <v>59</v>
      </c>
      <c r="B80" s="31"/>
      <c r="C80" s="32"/>
      <c r="D80" s="32"/>
      <c r="E80" s="33"/>
      <c r="F80" s="26"/>
      <c r="G80" s="34" t="str">
        <f t="shared" si="1"/>
        <v/>
      </c>
    </row>
    <row r="81" spans="1:7" x14ac:dyDescent="0.2">
      <c r="A81" s="13">
        <v>60</v>
      </c>
      <c r="B81" s="31"/>
      <c r="C81" s="32"/>
      <c r="D81" s="32"/>
      <c r="E81" s="33"/>
      <c r="F81" s="26"/>
      <c r="G81" s="34" t="str">
        <f t="shared" si="1"/>
        <v/>
      </c>
    </row>
    <row r="82" spans="1:7" x14ac:dyDescent="0.2">
      <c r="A82" s="13">
        <v>61</v>
      </c>
      <c r="B82" s="31"/>
      <c r="C82" s="32"/>
      <c r="D82" s="32"/>
      <c r="E82" s="33"/>
      <c r="F82" s="26"/>
      <c r="G82" s="34" t="str">
        <f t="shared" si="1"/>
        <v/>
      </c>
    </row>
    <row r="83" spans="1:7" x14ac:dyDescent="0.2">
      <c r="A83" s="13">
        <v>62</v>
      </c>
      <c r="B83" s="31"/>
      <c r="C83" s="32"/>
      <c r="D83" s="32"/>
      <c r="E83" s="33"/>
      <c r="F83" s="26"/>
      <c r="G83" s="34" t="str">
        <f t="shared" si="1"/>
        <v/>
      </c>
    </row>
    <row r="84" spans="1:7" x14ac:dyDescent="0.2">
      <c r="A84" s="13">
        <v>63</v>
      </c>
      <c r="B84" s="31"/>
      <c r="C84" s="32"/>
      <c r="D84" s="32"/>
      <c r="E84" s="33"/>
      <c r="F84" s="26"/>
      <c r="G84" s="34" t="str">
        <f t="shared" si="1"/>
        <v/>
      </c>
    </row>
    <row r="85" spans="1:7" x14ac:dyDescent="0.2">
      <c r="A85" s="13">
        <v>64</v>
      </c>
      <c r="B85" s="31"/>
      <c r="C85" s="32"/>
      <c r="D85" s="32"/>
      <c r="E85" s="33"/>
      <c r="F85" s="26"/>
      <c r="G85" s="34" t="str">
        <f t="shared" si="1"/>
        <v/>
      </c>
    </row>
    <row r="86" spans="1:7" x14ac:dyDescent="0.2">
      <c r="A86" s="13">
        <v>65</v>
      </c>
      <c r="B86" s="31"/>
      <c r="C86" s="32"/>
      <c r="D86" s="32"/>
      <c r="E86" s="33"/>
      <c r="F86" s="26"/>
      <c r="G86" s="34" t="str">
        <f t="shared" ref="G86:G101" si="2">IFERROR(IF(OR(C86="",D86=""),"",ROUND(MOD(D86-C86,1)*1440,0)),"check")</f>
        <v/>
      </c>
    </row>
    <row r="87" spans="1:7" x14ac:dyDescent="0.2">
      <c r="A87" s="13">
        <v>66</v>
      </c>
      <c r="B87" s="31"/>
      <c r="C87" s="32"/>
      <c r="D87" s="32"/>
      <c r="E87" s="33"/>
      <c r="F87" s="26"/>
      <c r="G87" s="34" t="str">
        <f t="shared" si="2"/>
        <v/>
      </c>
    </row>
    <row r="88" spans="1:7" x14ac:dyDescent="0.2">
      <c r="A88" s="13">
        <v>67</v>
      </c>
      <c r="B88" s="31"/>
      <c r="C88" s="32"/>
      <c r="D88" s="32"/>
      <c r="E88" s="33"/>
      <c r="F88" s="26"/>
      <c r="G88" s="34" t="str">
        <f t="shared" si="2"/>
        <v/>
      </c>
    </row>
    <row r="89" spans="1:7" x14ac:dyDescent="0.2">
      <c r="A89" s="13">
        <v>68</v>
      </c>
      <c r="B89" s="31"/>
      <c r="C89" s="32"/>
      <c r="D89" s="32"/>
      <c r="E89" s="33"/>
      <c r="F89" s="26"/>
      <c r="G89" s="34" t="str">
        <f t="shared" si="2"/>
        <v/>
      </c>
    </row>
    <row r="90" spans="1:7" x14ac:dyDescent="0.2">
      <c r="A90" s="13">
        <v>69</v>
      </c>
      <c r="B90" s="31"/>
      <c r="C90" s="32"/>
      <c r="D90" s="32"/>
      <c r="E90" s="33"/>
      <c r="F90" s="26"/>
      <c r="G90" s="34" t="str">
        <f t="shared" si="2"/>
        <v/>
      </c>
    </row>
    <row r="91" spans="1:7" x14ac:dyDescent="0.2">
      <c r="A91" s="13">
        <v>70</v>
      </c>
      <c r="B91" s="31"/>
      <c r="C91" s="32"/>
      <c r="D91" s="32"/>
      <c r="E91" s="33"/>
      <c r="F91" s="26"/>
      <c r="G91" s="34" t="str">
        <f t="shared" si="2"/>
        <v/>
      </c>
    </row>
    <row r="92" spans="1:7" x14ac:dyDescent="0.2">
      <c r="A92" s="13">
        <v>71</v>
      </c>
      <c r="B92" s="31"/>
      <c r="C92" s="32"/>
      <c r="D92" s="32"/>
      <c r="E92" s="33"/>
      <c r="F92" s="26"/>
      <c r="G92" s="34" t="str">
        <f t="shared" si="2"/>
        <v/>
      </c>
    </row>
    <row r="93" spans="1:7" x14ac:dyDescent="0.2">
      <c r="A93" s="13">
        <v>72</v>
      </c>
      <c r="B93" s="31"/>
      <c r="C93" s="32"/>
      <c r="D93" s="32"/>
      <c r="E93" s="33"/>
      <c r="F93" s="26"/>
      <c r="G93" s="34" t="str">
        <f t="shared" si="2"/>
        <v/>
      </c>
    </row>
    <row r="94" spans="1:7" x14ac:dyDescent="0.2">
      <c r="A94" s="13">
        <v>73</v>
      </c>
      <c r="B94" s="31"/>
      <c r="C94" s="32"/>
      <c r="D94" s="32"/>
      <c r="E94" s="33"/>
      <c r="F94" s="26"/>
      <c r="G94" s="34" t="str">
        <f t="shared" si="2"/>
        <v/>
      </c>
    </row>
    <row r="95" spans="1:7" x14ac:dyDescent="0.2">
      <c r="A95" s="13">
        <v>74</v>
      </c>
      <c r="B95" s="31"/>
      <c r="C95" s="32"/>
      <c r="D95" s="32"/>
      <c r="E95" s="33"/>
      <c r="F95" s="26"/>
      <c r="G95" s="34" t="str">
        <f t="shared" si="2"/>
        <v/>
      </c>
    </row>
    <row r="96" spans="1:7" x14ac:dyDescent="0.2">
      <c r="A96" s="13">
        <v>75</v>
      </c>
      <c r="B96" s="31"/>
      <c r="C96" s="32"/>
      <c r="D96" s="32"/>
      <c r="E96" s="33"/>
      <c r="F96" s="26"/>
      <c r="G96" s="34" t="str">
        <f t="shared" si="2"/>
        <v/>
      </c>
    </row>
    <row r="97" spans="1:7" x14ac:dyDescent="0.2">
      <c r="A97" s="13">
        <v>76</v>
      </c>
      <c r="B97" s="31"/>
      <c r="C97" s="32"/>
      <c r="D97" s="32"/>
      <c r="E97" s="33"/>
      <c r="F97" s="26"/>
      <c r="G97" s="34" t="str">
        <f t="shared" si="2"/>
        <v/>
      </c>
    </row>
    <row r="98" spans="1:7" x14ac:dyDescent="0.2">
      <c r="A98" s="13">
        <v>77</v>
      </c>
      <c r="B98" s="31"/>
      <c r="C98" s="32"/>
      <c r="D98" s="32"/>
      <c r="E98" s="33"/>
      <c r="F98" s="26"/>
      <c r="G98" s="34" t="str">
        <f t="shared" si="2"/>
        <v/>
      </c>
    </row>
    <row r="99" spans="1:7" x14ac:dyDescent="0.2">
      <c r="A99" s="13">
        <v>78</v>
      </c>
      <c r="B99" s="31"/>
      <c r="C99" s="32"/>
      <c r="D99" s="32"/>
      <c r="E99" s="33"/>
      <c r="F99" s="26"/>
      <c r="G99" s="34" t="str">
        <f t="shared" si="2"/>
        <v/>
      </c>
    </row>
    <row r="100" spans="1:7" x14ac:dyDescent="0.2">
      <c r="A100" s="13">
        <v>79</v>
      </c>
      <c r="B100" s="31"/>
      <c r="C100" s="32"/>
      <c r="D100" s="32"/>
      <c r="E100" s="33"/>
      <c r="F100" s="26"/>
      <c r="G100" s="34" t="str">
        <f t="shared" si="2"/>
        <v/>
      </c>
    </row>
    <row r="101" spans="1:7" x14ac:dyDescent="0.2">
      <c r="A101" s="13">
        <v>80</v>
      </c>
      <c r="B101" s="31"/>
      <c r="C101" s="32"/>
      <c r="D101" s="32"/>
      <c r="E101" s="33"/>
      <c r="F101" s="26"/>
      <c r="G101" s="34" t="str">
        <f t="shared" si="2"/>
        <v/>
      </c>
    </row>
  </sheetData>
  <mergeCells count="24">
    <mergeCell ref="A14:C14"/>
    <mergeCell ref="D14:F14"/>
    <mergeCell ref="A15:C15"/>
    <mergeCell ref="D15:F15"/>
    <mergeCell ref="A16:C16"/>
    <mergeCell ref="D16:F16"/>
    <mergeCell ref="A11:C11"/>
    <mergeCell ref="D11:F11"/>
    <mergeCell ref="A12:C12"/>
    <mergeCell ref="D12:F12"/>
    <mergeCell ref="A13:C13"/>
    <mergeCell ref="D13:F13"/>
    <mergeCell ref="A8:C8"/>
    <mergeCell ref="D8:F8"/>
    <mergeCell ref="A9:C9"/>
    <mergeCell ref="D9:F9"/>
    <mergeCell ref="A10:C10"/>
    <mergeCell ref="D10:F10"/>
    <mergeCell ref="A5:C5"/>
    <mergeCell ref="D5:F5"/>
    <mergeCell ref="A6:C6"/>
    <mergeCell ref="D6:F6"/>
    <mergeCell ref="A7:C7"/>
    <mergeCell ref="D7:F7"/>
  </mergeCells>
  <dataValidations count="1">
    <dataValidation type="list" allowBlank="1" error="Pick Setup, Active, Reviewing, Waiting or Break." sqref="E22:E101" xr:uid="{00000000-0002-0000-0300-000000000000}">
      <formula1>"Setup,Active,Reviewing,Waiting,Break"</formula1>
      <formula2>0</formula2>
    </dataValidation>
  </dataValidations>
  <hyperlinks>
    <hyperlink ref="D15" r:id="rId1" xr:uid="{82AC4833-2B57-F842-99EF-1E991098C41C}"/>
    <hyperlink ref="D16" r:id="rId2" xr:uid="{92275F8F-C1FE-7342-A993-5E7621F18F7D}"/>
  </hyperlink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4"/>
  <sheetViews>
    <sheetView zoomScaleNormal="100" workbookViewId="0">
      <pane ySplit="4" topLeftCell="A5" activePane="bottomLeft" state="frozen"/>
      <selection pane="bottomLeft" activeCell="E6" sqref="E6"/>
    </sheetView>
  </sheetViews>
  <sheetFormatPr baseColWidth="10" defaultColWidth="8.6640625" defaultRowHeight="15" x14ac:dyDescent="0.2"/>
  <cols>
    <col min="1" max="1" width="5" customWidth="1"/>
    <col min="2" max="2" width="10" customWidth="1"/>
    <col min="3" max="3" width="24" customWidth="1"/>
    <col min="4" max="4" width="80" customWidth="1"/>
    <col min="5" max="5" width="40" customWidth="1"/>
  </cols>
  <sheetData>
    <row r="1" spans="1:5" ht="18" x14ac:dyDescent="0.2">
      <c r="A1" s="4" t="s">
        <v>160</v>
      </c>
    </row>
    <row r="2" spans="1:5" x14ac:dyDescent="0.2">
      <c r="A2" s="5" t="s">
        <v>161</v>
      </c>
    </row>
    <row r="4" spans="1:5" x14ac:dyDescent="0.2">
      <c r="A4" s="8" t="s">
        <v>25</v>
      </c>
      <c r="B4" s="8" t="s">
        <v>29</v>
      </c>
      <c r="C4" s="8" t="s">
        <v>103</v>
      </c>
      <c r="D4" s="8" t="s">
        <v>162</v>
      </c>
      <c r="E4" s="8" t="s">
        <v>163</v>
      </c>
    </row>
    <row r="5" spans="1:5" x14ac:dyDescent="0.2">
      <c r="A5" s="13">
        <v>1</v>
      </c>
      <c r="B5" s="35"/>
      <c r="C5" s="26" t="s">
        <v>164</v>
      </c>
      <c r="D5" s="26"/>
      <c r="E5" s="26" t="s">
        <v>181</v>
      </c>
    </row>
    <row r="6" spans="1:5" x14ac:dyDescent="0.2">
      <c r="A6" s="13">
        <v>2</v>
      </c>
      <c r="B6" s="35"/>
      <c r="C6" s="26" t="s">
        <v>165</v>
      </c>
      <c r="D6" s="26"/>
      <c r="E6" s="26"/>
    </row>
    <row r="7" spans="1:5" x14ac:dyDescent="0.2">
      <c r="A7" s="13">
        <v>3</v>
      </c>
      <c r="B7" s="35"/>
      <c r="C7" s="26"/>
      <c r="D7" s="26"/>
      <c r="E7" s="26"/>
    </row>
    <row r="8" spans="1:5" x14ac:dyDescent="0.2">
      <c r="A8" s="13">
        <v>4</v>
      </c>
      <c r="B8" s="35"/>
      <c r="C8" s="26"/>
      <c r="D8" s="26"/>
      <c r="E8" s="26"/>
    </row>
    <row r="9" spans="1:5" x14ac:dyDescent="0.2">
      <c r="A9" s="13">
        <v>5</v>
      </c>
      <c r="B9" s="35"/>
      <c r="C9" s="26"/>
      <c r="D9" s="26"/>
      <c r="E9" s="26"/>
    </row>
    <row r="10" spans="1:5" x14ac:dyDescent="0.2">
      <c r="A10" s="13">
        <v>6</v>
      </c>
      <c r="B10" s="35"/>
      <c r="C10" s="26"/>
      <c r="D10" s="26"/>
      <c r="E10" s="26"/>
    </row>
    <row r="11" spans="1:5" x14ac:dyDescent="0.2">
      <c r="A11" s="13">
        <v>7</v>
      </c>
      <c r="B11" s="35"/>
      <c r="C11" s="26"/>
      <c r="D11" s="26"/>
      <c r="E11" s="26"/>
    </row>
    <row r="12" spans="1:5" x14ac:dyDescent="0.2">
      <c r="A12" s="13">
        <v>8</v>
      </c>
      <c r="B12" s="35"/>
      <c r="C12" s="26"/>
      <c r="D12" s="26"/>
      <c r="E12" s="26"/>
    </row>
    <row r="13" spans="1:5" x14ac:dyDescent="0.2">
      <c r="A13" s="13">
        <v>9</v>
      </c>
      <c r="B13" s="35"/>
      <c r="C13" s="26"/>
      <c r="D13" s="26"/>
      <c r="E13" s="26"/>
    </row>
    <row r="14" spans="1:5" x14ac:dyDescent="0.2">
      <c r="A14" s="13">
        <v>10</v>
      </c>
      <c r="B14" s="35"/>
      <c r="C14" s="26"/>
      <c r="D14" s="26"/>
      <c r="E14" s="26"/>
    </row>
    <row r="15" spans="1:5" x14ac:dyDescent="0.2">
      <c r="A15" s="13">
        <v>11</v>
      </c>
      <c r="B15" s="35"/>
      <c r="C15" s="26"/>
      <c r="D15" s="26"/>
      <c r="E15" s="26"/>
    </row>
    <row r="16" spans="1:5" x14ac:dyDescent="0.2">
      <c r="A16" s="13">
        <v>12</v>
      </c>
      <c r="B16" s="35"/>
      <c r="C16" s="26"/>
      <c r="D16" s="26"/>
      <c r="E16" s="26"/>
    </row>
    <row r="17" spans="1:5" x14ac:dyDescent="0.2">
      <c r="A17" s="13">
        <v>13</v>
      </c>
      <c r="B17" s="35"/>
      <c r="C17" s="26"/>
      <c r="D17" s="26"/>
      <c r="E17" s="26"/>
    </row>
    <row r="18" spans="1:5" x14ac:dyDescent="0.2">
      <c r="A18" s="13">
        <v>14</v>
      </c>
      <c r="B18" s="35"/>
      <c r="C18" s="26"/>
      <c r="D18" s="26"/>
      <c r="E18" s="26"/>
    </row>
    <row r="19" spans="1:5" x14ac:dyDescent="0.2">
      <c r="A19" s="13">
        <v>15</v>
      </c>
      <c r="B19" s="35"/>
      <c r="C19" s="26"/>
      <c r="D19" s="26"/>
      <c r="E19" s="26"/>
    </row>
    <row r="20" spans="1:5" x14ac:dyDescent="0.2">
      <c r="A20" s="13">
        <v>16</v>
      </c>
      <c r="B20" s="35"/>
      <c r="C20" s="26"/>
      <c r="D20" s="26"/>
      <c r="E20" s="26"/>
    </row>
    <row r="21" spans="1:5" x14ac:dyDescent="0.2">
      <c r="A21" s="13">
        <v>17</v>
      </c>
      <c r="B21" s="35"/>
      <c r="C21" s="26"/>
      <c r="D21" s="26"/>
      <c r="E21" s="26"/>
    </row>
    <row r="22" spans="1:5" x14ac:dyDescent="0.2">
      <c r="A22" s="13">
        <v>18</v>
      </c>
      <c r="B22" s="35"/>
      <c r="C22" s="26"/>
      <c r="D22" s="26"/>
      <c r="E22" s="26"/>
    </row>
    <row r="23" spans="1:5" x14ac:dyDescent="0.2">
      <c r="A23" s="13">
        <v>19</v>
      </c>
      <c r="B23" s="35"/>
      <c r="C23" s="26"/>
      <c r="D23" s="26"/>
      <c r="E23" s="26"/>
    </row>
    <row r="24" spans="1:5" x14ac:dyDescent="0.2">
      <c r="A24" s="13">
        <v>20</v>
      </c>
      <c r="B24" s="35"/>
      <c r="C24" s="26"/>
      <c r="D24" s="26"/>
      <c r="E24" s="26"/>
    </row>
    <row r="25" spans="1:5" x14ac:dyDescent="0.2">
      <c r="A25" s="13">
        <v>21</v>
      </c>
      <c r="B25" s="35"/>
      <c r="C25" s="26"/>
      <c r="D25" s="26"/>
      <c r="E25" s="26"/>
    </row>
    <row r="26" spans="1:5" x14ac:dyDescent="0.2">
      <c r="A26" s="13">
        <v>22</v>
      </c>
      <c r="B26" s="35"/>
      <c r="C26" s="26"/>
      <c r="D26" s="26"/>
      <c r="E26" s="26"/>
    </row>
    <row r="27" spans="1:5" x14ac:dyDescent="0.2">
      <c r="A27" s="13">
        <v>23</v>
      </c>
      <c r="B27" s="35"/>
      <c r="C27" s="26"/>
      <c r="D27" s="26"/>
      <c r="E27" s="26"/>
    </row>
    <row r="28" spans="1:5" x14ac:dyDescent="0.2">
      <c r="A28" s="13">
        <v>24</v>
      </c>
      <c r="B28" s="35"/>
      <c r="C28" s="26"/>
      <c r="D28" s="26"/>
      <c r="E28" s="26"/>
    </row>
    <row r="29" spans="1:5" x14ac:dyDescent="0.2">
      <c r="A29" s="13">
        <v>25</v>
      </c>
      <c r="B29" s="35"/>
      <c r="C29" s="26"/>
      <c r="D29" s="26"/>
      <c r="E29" s="26"/>
    </row>
    <row r="30" spans="1:5" x14ac:dyDescent="0.2">
      <c r="A30" s="13">
        <v>26</v>
      </c>
      <c r="B30" s="35"/>
      <c r="C30" s="26"/>
      <c r="D30" s="26"/>
      <c r="E30" s="26"/>
    </row>
    <row r="31" spans="1:5" x14ac:dyDescent="0.2">
      <c r="A31" s="13">
        <v>27</v>
      </c>
      <c r="B31" s="35"/>
      <c r="C31" s="26"/>
      <c r="D31" s="26"/>
      <c r="E31" s="26"/>
    </row>
    <row r="32" spans="1:5" x14ac:dyDescent="0.2">
      <c r="A32" s="13">
        <v>28</v>
      </c>
      <c r="B32" s="35"/>
      <c r="C32" s="26"/>
      <c r="D32" s="26"/>
      <c r="E32" s="26"/>
    </row>
    <row r="33" spans="1:5" x14ac:dyDescent="0.2">
      <c r="A33" s="13">
        <v>29</v>
      </c>
      <c r="B33" s="35"/>
      <c r="C33" s="26"/>
      <c r="D33" s="26"/>
      <c r="E33" s="26"/>
    </row>
    <row r="34" spans="1:5" x14ac:dyDescent="0.2">
      <c r="A34" s="13">
        <v>30</v>
      </c>
      <c r="B34" s="35"/>
      <c r="C34" s="26"/>
      <c r="D34" s="26"/>
      <c r="E34" s="26"/>
    </row>
    <row r="35" spans="1:5" x14ac:dyDescent="0.2">
      <c r="A35" s="13">
        <v>31</v>
      </c>
      <c r="B35" s="35"/>
      <c r="C35" s="26"/>
      <c r="D35" s="26"/>
      <c r="E35" s="26"/>
    </row>
    <row r="36" spans="1:5" x14ac:dyDescent="0.2">
      <c r="A36" s="13">
        <v>32</v>
      </c>
      <c r="B36" s="35"/>
      <c r="C36" s="26"/>
      <c r="D36" s="26"/>
      <c r="E36" s="26"/>
    </row>
    <row r="37" spans="1:5" x14ac:dyDescent="0.2">
      <c r="A37" s="13">
        <v>33</v>
      </c>
      <c r="B37" s="35"/>
      <c r="C37" s="26"/>
      <c r="D37" s="26"/>
      <c r="E37" s="26"/>
    </row>
    <row r="38" spans="1:5" x14ac:dyDescent="0.2">
      <c r="A38" s="13">
        <v>34</v>
      </c>
      <c r="B38" s="35"/>
      <c r="C38" s="26"/>
      <c r="D38" s="26"/>
      <c r="E38" s="26"/>
    </row>
    <row r="39" spans="1:5" x14ac:dyDescent="0.2">
      <c r="A39" s="13">
        <v>35</v>
      </c>
      <c r="B39" s="35"/>
      <c r="C39" s="26"/>
      <c r="D39" s="26"/>
      <c r="E39" s="26"/>
    </row>
    <row r="40" spans="1:5" x14ac:dyDescent="0.2">
      <c r="A40" s="13">
        <v>36</v>
      </c>
      <c r="B40" s="35"/>
      <c r="C40" s="26"/>
      <c r="D40" s="26"/>
      <c r="E40" s="26"/>
    </row>
    <row r="41" spans="1:5" x14ac:dyDescent="0.2">
      <c r="A41" s="13">
        <v>37</v>
      </c>
      <c r="B41" s="35"/>
      <c r="C41" s="26"/>
      <c r="D41" s="26"/>
      <c r="E41" s="26"/>
    </row>
    <row r="42" spans="1:5" x14ac:dyDescent="0.2">
      <c r="A42" s="13">
        <v>38</v>
      </c>
      <c r="B42" s="35"/>
      <c r="C42" s="26"/>
      <c r="D42" s="26"/>
      <c r="E42" s="26"/>
    </row>
    <row r="43" spans="1:5" x14ac:dyDescent="0.2">
      <c r="A43" s="13">
        <v>39</v>
      </c>
      <c r="B43" s="35"/>
      <c r="C43" s="26"/>
      <c r="D43" s="26"/>
      <c r="E43" s="26"/>
    </row>
    <row r="44" spans="1:5" x14ac:dyDescent="0.2">
      <c r="A44" s="13">
        <v>40</v>
      </c>
      <c r="B44" s="35"/>
      <c r="C44" s="26"/>
      <c r="D44" s="26"/>
      <c r="E44" s="26"/>
    </row>
    <row r="45" spans="1:5" x14ac:dyDescent="0.2">
      <c r="A45" s="13">
        <v>41</v>
      </c>
      <c r="B45" s="35"/>
      <c r="C45" s="26"/>
      <c r="D45" s="26"/>
      <c r="E45" s="26"/>
    </row>
    <row r="46" spans="1:5" x14ac:dyDescent="0.2">
      <c r="A46" s="13">
        <v>42</v>
      </c>
      <c r="B46" s="35"/>
      <c r="C46" s="26"/>
      <c r="D46" s="26"/>
      <c r="E46" s="26"/>
    </row>
    <row r="47" spans="1:5" x14ac:dyDescent="0.2">
      <c r="A47" s="13">
        <v>43</v>
      </c>
      <c r="B47" s="35"/>
      <c r="C47" s="26"/>
      <c r="D47" s="26"/>
      <c r="E47" s="26"/>
    </row>
    <row r="48" spans="1:5" x14ac:dyDescent="0.2">
      <c r="A48" s="13">
        <v>44</v>
      </c>
      <c r="B48" s="35"/>
      <c r="C48" s="26"/>
      <c r="D48" s="26"/>
      <c r="E48" s="26"/>
    </row>
    <row r="49" spans="1:5" x14ac:dyDescent="0.2">
      <c r="A49" s="13">
        <v>45</v>
      </c>
      <c r="B49" s="35"/>
      <c r="C49" s="26"/>
      <c r="D49" s="26"/>
      <c r="E49" s="26"/>
    </row>
    <row r="50" spans="1:5" x14ac:dyDescent="0.2">
      <c r="A50" s="13">
        <v>46</v>
      </c>
      <c r="B50" s="35"/>
      <c r="C50" s="26"/>
      <c r="D50" s="26"/>
      <c r="E50" s="26"/>
    </row>
    <row r="51" spans="1:5" x14ac:dyDescent="0.2">
      <c r="A51" s="13">
        <v>47</v>
      </c>
      <c r="B51" s="35"/>
      <c r="C51" s="26"/>
      <c r="D51" s="26"/>
      <c r="E51" s="26"/>
    </row>
    <row r="52" spans="1:5" x14ac:dyDescent="0.2">
      <c r="A52" s="13">
        <v>48</v>
      </c>
      <c r="B52" s="35"/>
      <c r="C52" s="26"/>
      <c r="D52" s="26"/>
      <c r="E52" s="26"/>
    </row>
    <row r="53" spans="1:5" x14ac:dyDescent="0.2">
      <c r="A53" s="13">
        <v>49</v>
      </c>
      <c r="B53" s="35"/>
      <c r="C53" s="26"/>
      <c r="D53" s="26"/>
      <c r="E53" s="26"/>
    </row>
    <row r="54" spans="1:5" x14ac:dyDescent="0.2">
      <c r="A54" s="13">
        <v>50</v>
      </c>
      <c r="B54" s="35"/>
      <c r="C54" s="26"/>
      <c r="D54" s="26"/>
      <c r="E54" s="26"/>
    </row>
    <row r="55" spans="1:5" x14ac:dyDescent="0.2">
      <c r="A55" s="13">
        <v>51</v>
      </c>
      <c r="B55" s="35"/>
      <c r="C55" s="26"/>
      <c r="D55" s="26"/>
      <c r="E55" s="26"/>
    </row>
    <row r="56" spans="1:5" x14ac:dyDescent="0.2">
      <c r="A56" s="13">
        <v>52</v>
      </c>
      <c r="B56" s="35"/>
      <c r="C56" s="26"/>
      <c r="D56" s="26"/>
      <c r="E56" s="26"/>
    </row>
    <row r="57" spans="1:5" x14ac:dyDescent="0.2">
      <c r="A57" s="13">
        <v>53</v>
      </c>
      <c r="B57" s="35"/>
      <c r="C57" s="26"/>
      <c r="D57" s="26"/>
      <c r="E57" s="26"/>
    </row>
    <row r="58" spans="1:5" x14ac:dyDescent="0.2">
      <c r="A58" s="13">
        <v>54</v>
      </c>
      <c r="B58" s="35"/>
      <c r="C58" s="26"/>
      <c r="D58" s="26"/>
      <c r="E58" s="26"/>
    </row>
    <row r="59" spans="1:5" x14ac:dyDescent="0.2">
      <c r="A59" s="13">
        <v>55</v>
      </c>
      <c r="B59" s="35"/>
      <c r="C59" s="26"/>
      <c r="D59" s="26"/>
      <c r="E59" s="26"/>
    </row>
    <row r="60" spans="1:5" x14ac:dyDescent="0.2">
      <c r="A60" s="13">
        <v>56</v>
      </c>
      <c r="B60" s="35"/>
      <c r="C60" s="26"/>
      <c r="D60" s="26"/>
      <c r="E60" s="26"/>
    </row>
    <row r="61" spans="1:5" x14ac:dyDescent="0.2">
      <c r="A61" s="13">
        <v>57</v>
      </c>
      <c r="B61" s="35"/>
      <c r="C61" s="26"/>
      <c r="D61" s="26"/>
      <c r="E61" s="26"/>
    </row>
    <row r="62" spans="1:5" x14ac:dyDescent="0.2">
      <c r="A62" s="13">
        <v>58</v>
      </c>
      <c r="B62" s="35"/>
      <c r="C62" s="26"/>
      <c r="D62" s="26"/>
      <c r="E62" s="26"/>
    </row>
    <row r="63" spans="1:5" x14ac:dyDescent="0.2">
      <c r="A63" s="13">
        <v>59</v>
      </c>
      <c r="B63" s="35"/>
      <c r="C63" s="26"/>
      <c r="D63" s="26"/>
      <c r="E63" s="26"/>
    </row>
    <row r="64" spans="1:5" x14ac:dyDescent="0.2">
      <c r="A64" s="13">
        <v>60</v>
      </c>
      <c r="B64" s="35"/>
      <c r="C64" s="26"/>
      <c r="D64" s="26"/>
      <c r="E64" s="26"/>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48"/>
  <sheetViews>
    <sheetView tabSelected="1" zoomScale="192" zoomScaleNormal="100" workbookViewId="0">
      <selection activeCell="D23" sqref="D23"/>
    </sheetView>
  </sheetViews>
  <sheetFormatPr baseColWidth="10" defaultColWidth="8.6640625" defaultRowHeight="15" x14ac:dyDescent="0.2"/>
  <cols>
    <col min="1" max="1" width="10" customWidth="1"/>
    <col min="2" max="2" width="34" customWidth="1"/>
    <col min="3" max="3" width="70" customWidth="1"/>
  </cols>
  <sheetData>
    <row r="1" spans="1:3" ht="18" x14ac:dyDescent="0.2">
      <c r="A1" s="4" t="s">
        <v>166</v>
      </c>
    </row>
    <row r="3" spans="1:3" x14ac:dyDescent="0.2">
      <c r="A3" s="6" t="s">
        <v>167</v>
      </c>
    </row>
    <row r="4" spans="1:3" x14ac:dyDescent="0.2">
      <c r="A4" s="5" t="s">
        <v>168</v>
      </c>
    </row>
    <row r="5" spans="1:3" x14ac:dyDescent="0.2">
      <c r="A5" s="23" t="s">
        <v>29</v>
      </c>
      <c r="B5" s="23" t="s">
        <v>169</v>
      </c>
      <c r="C5" s="23" t="s">
        <v>170</v>
      </c>
    </row>
    <row r="6" spans="1:3" x14ac:dyDescent="0.2">
      <c r="A6" s="35"/>
      <c r="B6" s="26"/>
      <c r="C6" s="26"/>
    </row>
    <row r="7" spans="1:3" x14ac:dyDescent="0.2">
      <c r="A7" s="35"/>
      <c r="B7" s="26"/>
      <c r="C7" s="26"/>
    </row>
    <row r="8" spans="1:3" x14ac:dyDescent="0.2">
      <c r="A8" s="35"/>
      <c r="B8" s="26"/>
      <c r="C8" s="26"/>
    </row>
    <row r="9" spans="1:3" x14ac:dyDescent="0.2">
      <c r="A9" s="35"/>
      <c r="B9" s="26"/>
      <c r="C9" s="26"/>
    </row>
    <row r="10" spans="1:3" x14ac:dyDescent="0.2">
      <c r="A10" s="35"/>
      <c r="B10" s="26"/>
      <c r="C10" s="26"/>
    </row>
    <row r="11" spans="1:3" x14ac:dyDescent="0.2">
      <c r="A11" s="35"/>
      <c r="B11" s="26"/>
      <c r="C11" s="26"/>
    </row>
    <row r="12" spans="1:3" x14ac:dyDescent="0.2">
      <c r="A12" s="35"/>
      <c r="B12" s="26"/>
      <c r="C12" s="26"/>
    </row>
    <row r="13" spans="1:3" x14ac:dyDescent="0.2">
      <c r="A13" s="35"/>
      <c r="B13" s="26"/>
      <c r="C13" s="26"/>
    </row>
    <row r="14" spans="1:3" x14ac:dyDescent="0.2">
      <c r="A14" s="35"/>
      <c r="B14" s="26"/>
      <c r="C14" s="26"/>
    </row>
    <row r="15" spans="1:3" x14ac:dyDescent="0.2">
      <c r="A15" s="35"/>
      <c r="B15" s="26"/>
      <c r="C15" s="26"/>
    </row>
    <row r="16" spans="1:3" x14ac:dyDescent="0.2">
      <c r="A16" s="35"/>
      <c r="B16" s="26"/>
      <c r="C16" s="26"/>
    </row>
    <row r="17" spans="1:3" x14ac:dyDescent="0.2">
      <c r="A17" s="35"/>
      <c r="B17" s="26"/>
      <c r="C17" s="26"/>
    </row>
    <row r="18" spans="1:3" x14ac:dyDescent="0.2">
      <c r="A18" s="35"/>
      <c r="B18" s="26"/>
      <c r="C18" s="26"/>
    </row>
    <row r="19" spans="1:3" x14ac:dyDescent="0.2">
      <c r="A19" s="35"/>
      <c r="B19" s="26"/>
      <c r="C19" s="26"/>
    </row>
    <row r="20" spans="1:3" x14ac:dyDescent="0.2">
      <c r="A20" s="35"/>
      <c r="B20" s="26"/>
      <c r="C20" s="26"/>
    </row>
    <row r="21" spans="1:3" x14ac:dyDescent="0.2">
      <c r="A21" s="35"/>
      <c r="B21" s="26"/>
      <c r="C21" s="26"/>
    </row>
    <row r="22" spans="1:3" x14ac:dyDescent="0.2">
      <c r="A22" s="35"/>
      <c r="B22" s="26"/>
      <c r="C22" s="26"/>
    </row>
    <row r="23" spans="1:3" x14ac:dyDescent="0.2">
      <c r="A23" s="35"/>
      <c r="B23" s="26"/>
      <c r="C23" s="26"/>
    </row>
    <row r="24" spans="1:3" x14ac:dyDescent="0.2">
      <c r="A24" s="35"/>
      <c r="B24" s="26"/>
      <c r="C24" s="26"/>
    </row>
    <row r="25" spans="1:3" x14ac:dyDescent="0.2">
      <c r="A25" s="35"/>
      <c r="B25" s="26"/>
      <c r="C25" s="26"/>
    </row>
    <row r="26" spans="1:3" x14ac:dyDescent="0.2">
      <c r="A26" s="35"/>
      <c r="B26" s="26"/>
      <c r="C26" s="26"/>
    </row>
    <row r="27" spans="1:3" x14ac:dyDescent="0.2">
      <c r="A27" s="35"/>
      <c r="B27" s="26"/>
      <c r="C27" s="26"/>
    </row>
    <row r="28" spans="1:3" x14ac:dyDescent="0.2">
      <c r="A28" s="35"/>
      <c r="B28" s="26"/>
      <c r="C28" s="26"/>
    </row>
    <row r="29" spans="1:3" x14ac:dyDescent="0.2">
      <c r="A29" s="35"/>
      <c r="B29" s="26"/>
      <c r="C29" s="26"/>
    </row>
    <row r="30" spans="1:3" x14ac:dyDescent="0.2">
      <c r="A30" s="35"/>
      <c r="B30" s="26"/>
      <c r="C30" s="26"/>
    </row>
    <row r="32" spans="1:3" x14ac:dyDescent="0.2">
      <c r="A32" s="6" t="s">
        <v>171</v>
      </c>
    </row>
    <row r="33" spans="1:3" x14ac:dyDescent="0.2">
      <c r="A33" s="5" t="s">
        <v>172</v>
      </c>
    </row>
    <row r="34" spans="1:3" x14ac:dyDescent="0.2">
      <c r="A34" s="23" t="s">
        <v>29</v>
      </c>
      <c r="B34" s="23" t="s">
        <v>155</v>
      </c>
      <c r="C34" s="23" t="s">
        <v>173</v>
      </c>
    </row>
    <row r="35" spans="1:3" x14ac:dyDescent="0.2">
      <c r="A35" s="35"/>
      <c r="B35" s="26"/>
      <c r="C35" s="26"/>
    </row>
    <row r="36" spans="1:3" x14ac:dyDescent="0.2">
      <c r="A36" s="35"/>
      <c r="B36" s="26"/>
      <c r="C36" s="26"/>
    </row>
    <row r="37" spans="1:3" x14ac:dyDescent="0.2">
      <c r="A37" s="35"/>
      <c r="B37" s="26"/>
      <c r="C37" s="26"/>
    </row>
    <row r="38" spans="1:3" x14ac:dyDescent="0.2">
      <c r="A38" s="35"/>
      <c r="B38" s="26"/>
      <c r="C38" s="26"/>
    </row>
    <row r="39" spans="1:3" x14ac:dyDescent="0.2">
      <c r="A39" s="35"/>
      <c r="B39" s="26"/>
      <c r="C39" s="26"/>
    </row>
    <row r="41" spans="1:3" x14ac:dyDescent="0.2">
      <c r="A41" s="6" t="s">
        <v>174</v>
      </c>
    </row>
    <row r="42" spans="1:3" x14ac:dyDescent="0.2">
      <c r="A42" s="5" t="s">
        <v>175</v>
      </c>
    </row>
    <row r="43" spans="1:3" x14ac:dyDescent="0.2">
      <c r="A43" s="23" t="s">
        <v>29</v>
      </c>
      <c r="B43" s="23" t="s">
        <v>176</v>
      </c>
      <c r="C43" s="23" t="s">
        <v>177</v>
      </c>
    </row>
    <row r="44" spans="1:3" x14ac:dyDescent="0.2">
      <c r="A44" s="35"/>
      <c r="B44" s="26"/>
      <c r="C44" s="26"/>
    </row>
    <row r="45" spans="1:3" x14ac:dyDescent="0.2">
      <c r="A45" s="35"/>
      <c r="B45" s="26"/>
      <c r="C45" s="26"/>
    </row>
    <row r="46" spans="1:3" x14ac:dyDescent="0.2">
      <c r="A46" s="35"/>
      <c r="B46" s="26"/>
      <c r="C46" s="26"/>
    </row>
    <row r="47" spans="1:3" x14ac:dyDescent="0.2">
      <c r="A47" s="35"/>
      <c r="B47" s="26"/>
      <c r="C47" s="26"/>
    </row>
    <row r="48" spans="1:3" x14ac:dyDescent="0.2">
      <c r="A48" s="35"/>
      <c r="B48" s="26"/>
      <c r="C48" s="26"/>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How to use</vt:lpstr>
      <vt:lpstr>Steps</vt:lpstr>
      <vt:lpstr>Prompts</vt:lpstr>
      <vt:lpstr>Log</vt:lpstr>
      <vt:lpstr>Prompts sent</vt: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Zafir Hasan</cp:lastModifiedBy>
  <cp:revision>0</cp:revision>
  <dcterms:created xsi:type="dcterms:W3CDTF">2026-10-17T05:39:13Z</dcterms:created>
  <dcterms:modified xsi:type="dcterms:W3CDTF">2026-10-18T08:23:53Z</dcterms:modified>
  <dc:language>en-US</dc:language>
</cp:coreProperties>
</file>